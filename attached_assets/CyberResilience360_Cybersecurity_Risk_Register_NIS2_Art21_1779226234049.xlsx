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1332c59c6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977be71be8a42c9"/>
    <x:sheet xmlns:r="http://schemas.openxmlformats.org/officeDocument/2006/relationships" name="Cybersecurity Risks" sheetId="2" r:id="Rd6343a962fe94d48"/>
    <x:sheet xmlns:r="http://schemas.openxmlformats.org/officeDocument/2006/relationships" name="Import Spec" sheetId="3" r:id="R802f9c7628af451e"/>
    <x:sheet xmlns:r="http://schemas.openxmlformats.org/officeDocument/2006/relationships" name="Lists" sheetId="4" r:id="R6a30f9f5c2724d84"/>
    <x:sheet xmlns:r="http://schemas.openxmlformats.org/officeDocument/2006/relationships" name="References" sheetId="5" r:id="R68af64674f5c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8"/>
      <x:color rgb="FFFFFF"/>
      <x:name val="Carlito"/>
    </x:font>
    <x:font>
      <x:sz val="11"/>
      <x:name val="Aptos"/>
    </x:font>
    <x:font>
      <x:b/>
      <x:sz val="11"/>
      <x:name val="Aptos"/>
    </x:font>
    <x:font>
      <x:b/>
      <x:sz val="1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C65911"/>
      </x:font>
      <x:fill>
        <x:patternFill patternType="solid">
          <x:bgColor rgb="FCE4D6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405f7753a447e" /><Relationship Type="http://schemas.openxmlformats.org/officeDocument/2006/relationships/theme" Target="/xl/theme/theme1.xml" Id="Re48e72b2a3b34c44" /><Relationship Type="http://schemas.openxmlformats.org/officeDocument/2006/relationships/sharedStrings" Target="/xl/sharedStrings.xml" Id="R68fa7d3ea02f4b11" /><Relationship Type="http://schemas.openxmlformats.org/officeDocument/2006/relationships/worksheet" Target="/xl/worksheets/sheet1.xml" Id="Rd977be71be8a42c9" /><Relationship Type="http://schemas.openxmlformats.org/officeDocument/2006/relationships/worksheet" Target="/xl/worksheets/sheet2.xml" Id="Rd6343a962fe94d48" /><Relationship Type="http://schemas.openxmlformats.org/officeDocument/2006/relationships/worksheet" Target="/xl/worksheets/sheet3.xml" Id="R802f9c7628af451e" /><Relationship Type="http://schemas.openxmlformats.org/officeDocument/2006/relationships/worksheet" Target="/xl/worksheets/sheet4.xml" Id="R6a30f9f5c2724d84" /><Relationship Type="http://schemas.openxmlformats.org/officeDocument/2006/relationships/worksheet" Target="/xl/worksheets/sheet5.xml" Id="R68af64674f5c40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8bece8a902441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Risk Count</c:v>
          </c:tx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'Dashboard'!$B$12:$B$21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8bece8a90244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yberRiskRegisterTable" displayName="CyberRiskRegisterTable" ref="A1:U101" headerRowCount="1">
  <x:tableColumns count="21">
    <x:tableColumn id="1" name="Risk_ID"/>
    <x:tableColumn id="2" name="Framework_Context"/>
    <x:tableColumn id="3" name="Risk_Category"/>
    <x:tableColumn id="4" name="Risk_Title"/>
    <x:tableColumn id="5" name="Risk_Statement"/>
    <x:tableColumn id="6" name="Typical_Impact"/>
    <x:tableColumn id="7" name="NIS2_Art21_Mapping"/>
    <x:tableColumn id="8" name="Affected_Assets_or_Services"/>
    <x:tableColumn id="9" name="Inherent_Likelihood"/>
    <x:tableColumn id="10" name="Inherent_Impact"/>
    <x:tableColumn id="11" name="Inherent_Risk_Rating"/>
    <x:tableColumn id="12" name="Treatment_Option"/>
    <x:tableColumn id="13" name="Treatment_Direction"/>
    <x:tableColumn id="14" name="Suggested_Controls"/>
    <x:tableColumn id="15" name="Evidence_Artifacts"/>
    <x:tableColumn id="16" name="Typical_Owner"/>
    <x:tableColumn id="17" name="Review_Frequency"/>
    <x:tableColumn id="18" name="Applicability_Tags"/>
    <x:tableColumn id="19" name="Default_Status"/>
    <x:tableColumn id="20" name="Source_URL"/>
    <x:tableColumn id="21" name="Notes"/>
  </x:tableColumns>
  <x:tableStyleInfo name="TableStyleMedium2" showRowStripes="1"/>
</x:table>
</file>

<file path=xl/tables/table2.xml><?xml version="1.0" encoding="utf-8"?>
<x:table xmlns:x="http://schemas.openxmlformats.org/spreadsheetml/2006/main" id="3" name="ImportSpecTable" displayName="ImportSpecTable" ref="A1:E22" headerRowCount="1">
  <x:tableColumns count="5">
    <x:tableColumn id="1" name="Workbook Column"/>
    <x:tableColumn id="2" name="Target App Field"/>
    <x:tableColumn id="3" name="Data Type"/>
    <x:tableColumn id="4" name="Import Rule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ValidationListsTable" displayName="ValidationListsTable" ref="A1:H84" headerRowCount="1">
  <x:tableColumns count="8">
    <x:tableColumn id="1" name="Likelihood"/>
    <x:tableColumn id="2" name="Impact"/>
    <x:tableColumn id="3" name="Risk_Rating"/>
    <x:tableColumn id="4" name="Treatment_Option"/>
    <x:tableColumn id="5" name="Review_Frequency"/>
    <x:tableColumn id="6" name="Default_Status"/>
    <x:tableColumn id="7" name="Risk_Category"/>
    <x:tableColumn id="8" name="Typical_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b68bb602964f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65e71c37cf43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5699ff608a43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deff3264b44dd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3" max="3" width="18" hidden="0" customWidth="1"/>
  </x:cols>
  <x:sheetData>
    <x:row r="1" ht="36" customHeight="1">
      <x:c r="A1" s="50" t="str">
        <x:v>CyberResilience360 – Cybersecurity Risk Register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</x:row>
    <x:row r="3">
      <x:c r="A3" s="38" t="str">
        <x:v>Workbook purpose</x:v>
      </x:c>
      <x:c r="B3" s="39" t="str">
        <x:v>Baseline cybersecurity risk library for NIS2 Art.21 risk identification and treatment</x:v>
      </x:c>
      <x:c r="D3" s="48" t="str">
        <x:v>Recommended Platform Use</x:v>
      </x:c>
    </x:row>
    <x:row r="4" ht="30" customHeight="1">
      <x:c r="A4" s="38" t="str">
        <x:v>Total risks</x:v>
      </x:c>
      <x:c r="B4" s="40" t="n">
        <x:f>COUNTA('Cybersecurity Risks'!$A$2:$A$101)</x:f>
        <x:v>100</x:v>
      </x:c>
      <x:c r="D4" s="52" t="str">
        <x:v>Import as a risk library, not as controls.</x:v>
      </x:c>
      <x:c r="E4" s="39"/>
      <x:c r="F4" s="39"/>
      <x:c r="G4" s="39"/>
      <x:c r="H4" s="39"/>
    </x:row>
    <x:row r="5" ht="30" customHeight="1">
      <x:c r="A5" s="38" t="str">
        <x:v>Critical risks</x:v>
      </x:c>
      <x:c r="B5" s="40" t="n">
        <x:f>COUNTIF('Cybersecurity Risks'!$K$2:$K$101,"Critical")</x:f>
        <x:v>26</x:v>
      </x:c>
      <x:c r="D5" s="52" t="str">
        <x:v>Use Risk_ID as the stable unique key.</x:v>
      </x:c>
      <x:c r="E5" s="39"/>
      <x:c r="F5" s="39"/>
      <x:c r="G5" s="39"/>
      <x:c r="H5" s="39"/>
    </x:row>
    <x:row r="6" ht="30" customHeight="1">
      <x:c r="A6" s="38" t="str">
        <x:v>High risks</x:v>
      </x:c>
      <x:c r="B6" s="40" t="n">
        <x:f>COUNTIF('Cybersecurity Risks'!$K$2:$K$101,"High")</x:f>
        <x:v>55</x:v>
      </x:c>
      <x:c r="D6" s="52" t="str">
        <x:v>Do not create organization risk records globally.</x:v>
      </x:c>
      <x:c r="E6" s="39"/>
      <x:c r="F6" s="39"/>
      <x:c r="G6" s="39"/>
      <x:c r="H6" s="39"/>
    </x:row>
    <x:row r="7" ht="30" customHeight="1">
      <x:c r="A7" s="38" t="str">
        <x:v>Categories</x:v>
      </x:c>
      <x:c r="B7" s="40" t="n">
        <x:f>COUNTA(Lists!$G$2:$G$11)</x:f>
        <x:v>10</x:v>
      </x:c>
      <x:c r="D7" s="52" t="str">
        <x:v>Offer baseline generation for NIS2-scope organizations.</x:v>
      </x:c>
      <x:c r="E7" s="39"/>
      <x:c r="F7" s="39"/>
      <x:c r="G7" s="39"/>
      <x:c r="H7" s="39"/>
    </x:row>
    <x:row r="8" ht="30" customHeight="1">
      <x:c r="A8" s="38" t="str">
        <x:v>Default status</x:v>
      </x:c>
      <x:c r="B8" s="39" t="str">
        <x:v>Not Assessed</x:v>
      </x:c>
      <x:c r="D8" s="52" t="str">
        <x:v>Allow manual inclusion/exclusion per organization.</x:v>
      </x:c>
      <x:c r="E8" s="39"/>
      <x:c r="F8" s="39"/>
      <x:c r="G8" s="39"/>
      <x:c r="H8" s="39"/>
    </x:row>
    <x:row r="9" ht="30" customHeight="1">
      <x:c r="D9" s="52" t="str">
        <x:v>Keep existing controls and assessment statuses unchanged.</x:v>
      </x:c>
      <x:c r="E9" s="39"/>
      <x:c r="F9" s="39"/>
      <x:c r="G9" s="39"/>
      <x:c r="H9" s="39"/>
    </x:row>
    <x:row r="11">
      <x:c r="A11" s="16" t="str">
        <x:v>Risk Category</x:v>
      </x:c>
      <x:c r="B11" s="16" t="str">
        <x:v>Risk Count</x:v>
      </x:c>
    </x:row>
    <x:row r="12">
      <x:c r="A12" s="44" t="str">
        <x:v>Application Security &amp; Secure Development</x:v>
      </x:c>
      <x:c r="B12" s="46" t="n">
        <x:f>COUNTIF('Cybersecurity Risks'!$C$2:$C$101,A12)</x:f>
        <x:v>10</x:v>
      </x:c>
    </x:row>
    <x:row r="13">
      <x:c r="A13" s="44" t="str">
        <x:v>Business Continuity &amp; Disaster Recovery</x:v>
      </x:c>
      <x:c r="B13" s="46" t="n">
        <x:f>COUNTIF('Cybersecurity Risks'!$C$2:$C$101,A13)</x:f>
        <x:v>10</x:v>
      </x:c>
    </x:row>
    <x:row r="14">
      <x:c r="A14" s="44" t="str">
        <x:v>Data Protection &amp; Cryptography</x:v>
      </x:c>
      <x:c r="B14" s="46" t="n">
        <x:f>COUNTIF('Cybersecurity Risks'!$C$2:$C$101,A14)</x:f>
        <x:v>10</x:v>
      </x:c>
    </x:row>
    <x:row r="15">
      <x:c r="A15" s="44" t="str">
        <x:v>Governance &amp; Risk Management</x:v>
      </x:c>
      <x:c r="B15" s="46" t="n">
        <x:f>COUNTIF('Cybersecurity Risks'!$C$2:$C$101,A15)</x:f>
        <x:v>10</x:v>
      </x:c>
    </x:row>
    <x:row r="16">
      <x:c r="A16" s="44" t="str">
        <x:v>Human Factors, Awareness &amp; Insider Risk</x:v>
      </x:c>
      <x:c r="B16" s="46" t="n">
        <x:f>COUNTIF('Cybersecurity Risks'!$C$2:$C$101,A16)</x:f>
        <x:v>10</x:v>
      </x:c>
    </x:row>
    <x:row r="17">
      <x:c r="A17" s="44" t="str">
        <x:v>Identity &amp; Access Management</x:v>
      </x:c>
      <x:c r="B17" s="46" t="n">
        <x:f>COUNTIF('Cybersecurity Risks'!$C$2:$C$101,A17)</x:f>
        <x:v>10</x:v>
      </x:c>
    </x:row>
    <x:row r="18">
      <x:c r="A18" s="44" t="str">
        <x:v>Incident Management &amp; Detection</x:v>
      </x:c>
      <x:c r="B18" s="46" t="n">
        <x:f>COUNTIF('Cybersecurity Risks'!$C$2:$C$101,A18)</x:f>
        <x:v>10</x:v>
      </x:c>
    </x:row>
    <x:row r="19">
      <x:c r="A19" s="44" t="str">
        <x:v>Network &amp; Infrastructure Security</x:v>
      </x:c>
      <x:c r="B19" s="46" t="n">
        <x:f>COUNTIF('Cybersecurity Risks'!$C$2:$C$101,A19)</x:f>
        <x:v>10</x:v>
      </x:c>
    </x:row>
    <x:row r="20">
      <x:c r="A20" s="44" t="str">
        <x:v>Physical, Environmental &amp; OT/IoT Security</x:v>
      </x:c>
      <x:c r="B20" s="46" t="n">
        <x:f>COUNTIF('Cybersecurity Risks'!$C$2:$C$101,A20)</x:f>
        <x:v>10</x:v>
      </x:c>
    </x:row>
    <x:row r="21">
      <x:c r="A21" s="44" t="str">
        <x:v>Supplier &amp; Third-Party Risk</x:v>
      </x:c>
      <x:c r="B21" s="46" t="n">
        <x:f>COUNTIF('Cybersecurity Risks'!$C$2:$C$101,A21)</x:f>
        <x:v>10</x:v>
      </x:c>
    </x:row>
  </x:sheetData>
  <x:mergeCells>
    <x:mergeCell ref="A1:H1"/>
    <x:mergeCell ref="D3:H3"/>
    <x:mergeCell ref="B3:C3"/>
    <x:mergeCell ref="D4:H4"/>
    <x:mergeCell ref="D5:H5"/>
    <x:mergeCell ref="D6:H6"/>
    <x:mergeCell ref="D7:H7"/>
    <x:mergeCell ref="D8:H8"/>
    <x:mergeCell ref="D9:H9"/>
  </x:mergeCells>
  <x:pageMargins left="0.7" right="0.7" top="0.75" bottom="0.75" header="0.3" footer="0.3"/>
  <x:drawing xmlns:r="http://schemas.openxmlformats.org/officeDocument/2006/relationships" r:id="Re7b68bb602964f0d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34" hidden="0" customWidth="1"/>
    <x:col min="5" max="5" width="48" hidden="0" customWidth="1"/>
    <x:col min="6" max="6" width="42" hidden="0" customWidth="1"/>
    <x:col min="7" max="7" width="48" hidden="0" customWidth="1"/>
    <x:col min="8" max="8" width="3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44" hidden="0" customWidth="1"/>
    <x:col min="14" max="14" width="42" hidden="0" customWidth="1"/>
    <x:col min="15" max="15" width="44" hidden="0" customWidth="1"/>
    <x:col min="16" max="16" width="24" hidden="0" customWidth="1"/>
    <x:col min="17" max="17" width="16" hidden="0" customWidth="1"/>
    <x:col min="18" max="18" width="28" hidden="0" customWidth="1"/>
    <x:col min="19" max="19" width="16" hidden="0" customWidth="1"/>
    <x:col min="20" max="20" width="44" hidden="0" customWidth="1"/>
    <x:col min="21" max="21" width="28" hidden="0" customWidth="1"/>
  </x:cols>
  <x:sheetData>
    <x:row r="1" ht="38" customHeight="1">
      <x:c r="A1" s="16" t="str">
        <x:v>Risk_ID</x:v>
      </x:c>
      <x:c r="B1" s="16" t="str">
        <x:v>Framework_Context</x:v>
      </x:c>
      <x:c r="C1" s="16" t="str">
        <x:v>Risk_Category</x:v>
      </x:c>
      <x:c r="D1" s="16" t="str">
        <x:v>Risk_Title</x:v>
      </x:c>
      <x:c r="E1" s="16" t="str">
        <x:v>Risk_Statement</x:v>
      </x:c>
      <x:c r="F1" s="16" t="str">
        <x:v>Typical_Impact</x:v>
      </x:c>
      <x:c r="G1" s="16" t="str">
        <x:v>NIS2_Art21_Mapping</x:v>
      </x:c>
      <x:c r="H1" s="16" t="str">
        <x:v>Affected_Assets_or_Services</x:v>
      </x:c>
      <x:c r="I1" s="16" t="str">
        <x:v>Inherent_Likelihood</x:v>
      </x:c>
      <x:c r="J1" s="16" t="str">
        <x:v>Inherent_Impact</x:v>
      </x:c>
      <x:c r="K1" s="16" t="str">
        <x:v>Inherent_Risk_Rating</x:v>
      </x:c>
      <x:c r="L1" s="16" t="str">
        <x:v>Treatment_Option</x:v>
      </x:c>
      <x:c r="M1" s="16" t="str">
        <x:v>Treatment_Direction</x:v>
      </x:c>
      <x:c r="N1" s="16" t="str">
        <x:v>Suggested_Controls</x:v>
      </x:c>
      <x:c r="O1" s="16" t="str">
        <x:v>Evidence_Artifacts</x:v>
      </x:c>
      <x:c r="P1" s="16" t="str">
        <x:v>Typical_Owner</x:v>
      </x:c>
      <x:c r="Q1" s="16" t="str">
        <x:v>Review_Frequency</x:v>
      </x:c>
      <x:c r="R1" s="16" t="str">
        <x:v>Applicability_Tags</x:v>
      </x:c>
      <x:c r="S1" s="16" t="str">
        <x:v>Default_Status</x:v>
      </x:c>
      <x:c r="T1" s="16" t="str">
        <x:v>Source_URL</x:v>
      </x:c>
      <x:c r="U1" s="16" t="str">
        <x:v>Notes</x:v>
      </x:c>
    </x:row>
    <x:row r="2" ht="72" customHeight="1">
      <x:c r="A2" s="17" t="str">
        <x:v>CYR-001</x:v>
      </x:c>
      <x:c r="B2" s="17" t="str">
        <x:v>NIS2 Art.21 Cybersecurity Risk Management</x:v>
      </x:c>
      <x:c r="C2" s="17" t="str">
        <x:v>Governance &amp; Risk Management</x:v>
      </x:c>
      <x:c r="D2" s="17" t="str">
        <x:v>Incomplete cybersecurity risk assessment</x:v>
      </x:c>
      <x:c r="E2" s="17" t="str">
        <x:v>Incomplete cybersecurity risk assessment may affect the confidentiality, integrity, availability or resilience of critical services and network and information systems.</x:v>
      </x:c>
      <x:c r="F2" s="17" t="str">
        <x:v>Unknown risks remain untreated; management decisions are made with incomplete information.</x:v>
      </x:c>
      <x:c r="G2" s="17" t="str">
        <x:v>Art.21(2)(a) risk analysis and information system security policies; Art.21(2)(f) effectiveness assessment</x:v>
      </x:c>
      <x:c r="H2" s="17" t="str">
        <x:v>Enterprise services, critical processes, information systems, suppliers</x:v>
      </x:c>
      <x:c r="I2" s="17" t="str">
        <x:v>Medium</x:v>
      </x:c>
      <x:c r="J2" s="17" t="str">
        <x:v>High</x:v>
      </x:c>
      <x:c r="K2" s="17" t="str">
        <x:v>High</x:v>
      </x:c>
      <x:c r="L2" s="17" t="str">
        <x:v>Mitigate</x:v>
      </x:c>
      <x:c r="M2" s="17" t="str">
        <x:v>Establish a formal cyber risk assessment methodology and annual review cycle.</x:v>
      </x:c>
      <x:c r="N2" s="17" t="str">
        <x:v>Risk methodology, risk workshops, periodic risk assessment, risk scoring criteria</x:v>
      </x:c>
      <x:c r="O2" s="17" t="str">
        <x:v>Risk methodology; completed risk assessments; risk register; management review minutes</x:v>
      </x:c>
      <x:c r="P2" s="17" t="str">
        <x:v>CISO / Risk Manager</x:v>
      </x:c>
      <x:c r="Q2" s="17" t="str">
        <x:v>Quarterly</x:v>
      </x:c>
      <x:c r="R2" s="17" t="str">
        <x:v>NIS2; Risk assessment; Governance</x:v>
      </x:c>
      <x:c r="S2" s="17" t="str">
        <x:v>Not Assessed</x:v>
      </x:c>
      <x:c r="T2" s="17" t="str">
        <x:v>https://eur-lex.europa.eu/eli/dir/2022/2555/oj/eng</x:v>
      </x:c>
      <x:c r="U2" s="17" t="str"/>
    </x:row>
    <x:row r="3" ht="72" customHeight="1">
      <x:c r="A3" s="17" t="str">
        <x:v>CYR-002</x:v>
      </x:c>
      <x:c r="B3" s="17" t="str">
        <x:v>NIS2 Art.21 Cybersecurity Risk Management</x:v>
      </x:c>
      <x:c r="C3" s="17" t="str">
        <x:v>Governance &amp; Risk Management</x:v>
      </x:c>
      <x:c r="D3" s="17" t="str">
        <x:v>Lack of documented information security policy</x:v>
      </x:c>
      <x:c r="E3" s="17" t="str">
        <x:v>Lack of documented information security policy may affect the confidentiality, integrity, availability or resilience of critical services and network and information systems.</x:v>
      </x:c>
      <x:c r="F3" s="17" t="str">
        <x:v>Inconsistent security practices and weak enforceability of minimum requirements.</x:v>
      </x:c>
      <x:c r="G3" s="17" t="str">
        <x:v>Art.21(2)(a) risk analysis and information system security policies; Art.21(2)(f) effectiveness assessment</x:v>
      </x:c>
      <x:c r="H3" s="17" t="str">
        <x:v>Enterprise services, critical processes, information systems, suppliers</x:v>
      </x:c>
      <x:c r="I3" s="17" t="str">
        <x:v>Medium</x:v>
      </x:c>
      <x:c r="J3" s="17" t="str">
        <x:v>High</x:v>
      </x:c>
      <x:c r="K3" s="17" t="str">
        <x:v>High</x:v>
      </x:c>
      <x:c r="L3" s="17" t="str">
        <x:v>Mitigate</x:v>
      </x:c>
      <x:c r="M3" s="17" t="str">
        <x:v>Approve, communicate and periodically review information security policies.</x:v>
      </x:c>
      <x:c r="N3" s="17" t="str">
        <x:v>Information security policy framework, policy ownership, policy review workflow</x:v>
      </x:c>
      <x:c r="O3" s="17" t="str">
        <x:v>Approved policy set; policy review records; employee acknowledgement records</x:v>
      </x:c>
      <x:c r="P3" s="17" t="str">
        <x:v>CISO / Compliance Manager</x:v>
      </x:c>
      <x:c r="Q3" s="17" t="str">
        <x:v>Quarterly</x:v>
      </x:c>
      <x:c r="R3" s="17" t="str">
        <x:v>NIS2; Security policy; Governance</x:v>
      </x:c>
      <x:c r="S3" s="17" t="str">
        <x:v>Not Assessed</x:v>
      </x:c>
      <x:c r="T3" s="17" t="str">
        <x:v>https://eur-lex.europa.eu/eli/dir/2022/2555/oj/eng</x:v>
      </x:c>
      <x:c r="U3" s="17" t="str"/>
    </x:row>
    <x:row r="4" ht="72" customHeight="1">
      <x:c r="A4" s="17" t="str">
        <x:v>CYR-003</x:v>
      </x:c>
      <x:c r="B4" s="17" t="str">
        <x:v>NIS2 Art.21 Cybersecurity Risk Management</x:v>
      </x:c>
      <x:c r="C4" s="17" t="str">
        <x:v>Governance &amp; Risk Management</x:v>
      </x:c>
      <x:c r="D4" s="17" t="str">
        <x:v>No defined risk appetite or tolerance</x:v>
      </x:c>
      <x:c r="E4" s="17" t="str">
        <x:v>No defined risk appetite or tolerance may affect the confidentiality, integrity, availability or resilience of critical services and network and information systems.</x:v>
      </x:c>
      <x:c r="F4" s="17" t="str">
        <x:v>Poor risk decisions; unresolved disagreement on acceptable residual risk.</x:v>
      </x:c>
      <x:c r="G4" s="17" t="str">
        <x:v>Art.21(2)(a) risk analysis and information system security policies; Art.21(2)(f) effectiveness assessment</x:v>
      </x:c>
      <x:c r="H4" s="17" t="str">
        <x:v>Enterprise services, critical processes, information systems, suppliers</x:v>
      </x:c>
      <x:c r="I4" s="17" t="str">
        <x:v>Medium</x:v>
      </x:c>
      <x:c r="J4" s="17" t="str">
        <x:v>High</x:v>
      </x:c>
      <x:c r="K4" s="17" t="str">
        <x:v>Medium</x:v>
      </x:c>
      <x:c r="L4" s="17" t="str">
        <x:v>Mitigate</x:v>
      </x:c>
      <x:c r="M4" s="17" t="str">
        <x:v>Define management-approved cybersecurity risk appetite and tolerance thresholds.</x:v>
      </x:c>
      <x:c r="N4" s="17" t="str">
        <x:v>Risk appetite statement, risk matrix, escalation thresholds, acceptance criteria</x:v>
      </x:c>
      <x:c r="O4" s="17" t="str">
        <x:v>Risk appetite statement; board/management approval; risk acceptance records</x:v>
      </x:c>
      <x:c r="P4" s="17" t="str">
        <x:v>Management Body / Risk Manager</x:v>
      </x:c>
      <x:c r="Q4" s="17" t="str">
        <x:v>Quarterly</x:v>
      </x:c>
      <x:c r="R4" s="17" t="str">
        <x:v>NIS2; Risk appetite; Governance</x:v>
      </x:c>
      <x:c r="S4" s="17" t="str">
        <x:v>Not Assessed</x:v>
      </x:c>
      <x:c r="T4" s="17" t="str">
        <x:v>https://eur-lex.europa.eu/eli/dir/2022/2555/oj/eng</x:v>
      </x:c>
      <x:c r="U4" s="17" t="str"/>
    </x:row>
    <x:row r="5" ht="72" customHeight="1">
      <x:c r="A5" s="17" t="str">
        <x:v>CYR-004</x:v>
      </x:c>
      <x:c r="B5" s="17" t="str">
        <x:v>NIS2 Art.21 Cybersecurity Risk Management</x:v>
      </x:c>
      <x:c r="C5" s="17" t="str">
        <x:v>Governance &amp; Risk Management</x:v>
      </x:c>
      <x:c r="D5" s="17" t="str">
        <x:v>Critical assets are not identified</x:v>
      </x:c>
      <x:c r="E5" s="17" t="str">
        <x:v>Critical assets are not identified may affect the confidentiality, integrity, availability or resilience of critical services and network and information systems.</x:v>
      </x:c>
      <x:c r="F5" s="17" t="str">
        <x:v>Key systems, applications, data and dependencies remain unprotected or under-prioritized.</x:v>
      </x:c>
      <x:c r="G5" s="17" t="str">
        <x:v>Art.21(2)(i) asset management; Art.21(2)(a) risk analysis</x:v>
      </x:c>
      <x:c r="H5" s="17" t="str">
        <x:v>Assets, applications, cloud services, infrastructure, data repositories</x:v>
      </x:c>
      <x:c r="I5" s="17" t="str">
        <x:v>Medium</x:v>
      </x:c>
      <x:c r="J5" s="17" t="str">
        <x:v>High</x:v>
      </x:c>
      <x:c r="K5" s="17" t="str">
        <x:v>High</x:v>
      </x:c>
      <x:c r="L5" s="17" t="str">
        <x:v>Mitigate</x:v>
      </x:c>
      <x:c r="M5" s="17" t="str">
        <x:v>Maintain an asset and service inventory linked to business criticality.</x:v>
      </x:c>
      <x:c r="N5" s="17" t="str">
        <x:v>Asset inventory, classification, ownership, criticality assignment</x:v>
      </x:c>
      <x:c r="O5" s="17" t="str">
        <x:v>Asset register; ownership records; criticality matrix; CMDB reports</x:v>
      </x:c>
      <x:c r="P5" s="17" t="str">
        <x:v>IT Manager / Asset Owner</x:v>
      </x:c>
      <x:c r="Q5" s="17" t="str">
        <x:v>Quarterly</x:v>
      </x:c>
      <x:c r="R5" s="17" t="str">
        <x:v>NIS2; Asset management; Critical assets</x:v>
      </x:c>
      <x:c r="S5" s="17" t="str">
        <x:v>Not Assessed</x:v>
      </x:c>
      <x:c r="T5" s="17" t="str">
        <x:v>https://eur-lex.europa.eu/eli/dir/2022/2555/oj/eng</x:v>
      </x:c>
      <x:c r="U5" s="17" t="str"/>
    </x:row>
    <x:row r="6" ht="72" customHeight="1">
      <x:c r="A6" s="17" t="str">
        <x:v>CYR-005</x:v>
      </x:c>
      <x:c r="B6" s="17" t="str">
        <x:v>NIS2 Art.21 Cybersecurity Risk Management</x:v>
      </x:c>
      <x:c r="C6" s="17" t="str">
        <x:v>Governance &amp; Risk Management</x:v>
      </x:c>
      <x:c r="D6" s="17" t="str">
        <x:v>Critical business services are not mapped to supporting systems</x:v>
      </x:c>
      <x:c r="E6" s="17" t="str">
        <x:v>Critical business services are not mapped to supporting systems may affect the confidentiality, integrity, availability or resilience of critical services and network and information systems.</x:v>
      </x:c>
      <x:c r="F6" s="17" t="str">
        <x:v>Inability to understand operational impact and prioritize resilience measures.</x:v>
      </x:c>
      <x:c r="G6" s="17" t="str">
        <x:v>Art.21(2)(a) risk analysis; Art.21(2)(c) business continuity and crisis management</x:v>
      </x:c>
      <x:c r="H6" s="17" t="str">
        <x:v>Critical services, process maps, ICT dependencies, suppliers</x:v>
      </x:c>
      <x:c r="I6" s="17" t="str">
        <x:v>Medium</x:v>
      </x:c>
      <x:c r="J6" s="17" t="str">
        <x:v>High</x:v>
      </x:c>
      <x:c r="K6" s="17" t="str">
        <x:v>High</x:v>
      </x:c>
      <x:c r="L6" s="17" t="str">
        <x:v>Mitigate</x:v>
      </x:c>
      <x:c r="M6" s="17" t="str">
        <x:v>Map critical services to systems, applications, suppliers, data and dependencies.</x:v>
      </x:c>
      <x:c r="N6" s="17" t="str">
        <x:v>Service dependency mapping, business impact analysis, criticality model</x:v>
      </x:c>
      <x:c r="O6" s="17" t="str">
        <x:v>Service maps; BIA records; dependency register; critical function list</x:v>
      </x:c>
      <x:c r="P6" s="17" t="str">
        <x:v>Business Continuity Manager / CISO</x:v>
      </x:c>
      <x:c r="Q6" s="17" t="str">
        <x:v>Quarterly</x:v>
      </x:c>
      <x:c r="R6" s="17" t="str">
        <x:v>NIS2; Service mapping; BIA</x:v>
      </x:c>
      <x:c r="S6" s="17" t="str">
        <x:v>Not Assessed</x:v>
      </x:c>
      <x:c r="T6" s="17" t="str">
        <x:v>https://eur-lex.europa.eu/eli/dir/2022/2555/oj/eng</x:v>
      </x:c>
      <x:c r="U6" s="17" t="str"/>
    </x:row>
    <x:row r="7" ht="72" customHeight="1">
      <x:c r="A7" s="17" t="str">
        <x:v>CYR-006</x:v>
      </x:c>
      <x:c r="B7" s="17" t="str">
        <x:v>NIS2 Art.21 Cybersecurity Risk Management</x:v>
      </x:c>
      <x:c r="C7" s="17" t="str">
        <x:v>Governance &amp; Risk Management</x:v>
      </x:c>
      <x:c r="D7" s="17" t="str">
        <x:v>Cyber risks are not assigned to owners</x:v>
      </x:c>
      <x:c r="E7" s="17" t="str">
        <x:v>Cyber risks are not assigned to owners may affect the confidentiality, integrity, availability or resilience of critical services and network and information systems.</x:v>
      </x:c>
      <x:c r="F7" s="17" t="str">
        <x:v>No accountability for treatment decisions, deadlines or residual-risk approval.</x:v>
      </x:c>
      <x:c r="G7" s="17" t="str">
        <x:v>Art.21(2)(a) risk analysis and information system security policies; Art.21(2)(f) effectiveness assessment</x:v>
      </x:c>
      <x:c r="H7" s="17" t="str">
        <x:v>Enterprise services, critical processes, information systems, suppliers</x:v>
      </x:c>
      <x:c r="I7" s="17" t="str">
        <x:v>Medium</x:v>
      </x:c>
      <x:c r="J7" s="17" t="str">
        <x:v>High</x:v>
      </x:c>
      <x:c r="K7" s="17" t="str">
        <x:v>Medium</x:v>
      </x:c>
      <x:c r="L7" s="17" t="str">
        <x:v>Mitigate</x:v>
      </x:c>
      <x:c r="M7" s="17" t="str">
        <x:v>Assign risk owners and action owners for every material cybersecurity risk.</x:v>
      </x:c>
      <x:c r="N7" s="17" t="str">
        <x:v>Risk ownership model, RACI matrix, risk assignment workflow</x:v>
      </x:c>
      <x:c r="O7" s="17" t="str">
        <x:v>Risk register with owners; RACI; action tracker; escalation records</x:v>
      </x:c>
      <x:c r="P7" s="17" t="str">
        <x:v>Risk Manager</x:v>
      </x:c>
      <x:c r="Q7" s="17" t="str">
        <x:v>Quarterly</x:v>
      </x:c>
      <x:c r="R7" s="17" t="str">
        <x:v>NIS2; Risk ownership; Governance</x:v>
      </x:c>
      <x:c r="S7" s="17" t="str">
        <x:v>Not Assessed</x:v>
      </x:c>
      <x:c r="T7" s="17" t="str">
        <x:v>https://eur-lex.europa.eu/eli/dir/2022/2555/oj/eng</x:v>
      </x:c>
      <x:c r="U7" s="17" t="str"/>
    </x:row>
    <x:row r="8" ht="72" customHeight="1">
      <x:c r="A8" s="17" t="str">
        <x:v>CYR-007</x:v>
      </x:c>
      <x:c r="B8" s="17" t="str">
        <x:v>NIS2 Art.21 Cybersecurity Risk Management</x:v>
      </x:c>
      <x:c r="C8" s="17" t="str">
        <x:v>Governance &amp; Risk Management</x:v>
      </x:c>
      <x:c r="D8" s="17" t="str">
        <x:v>Risk treatment actions are not tracked</x:v>
      </x:c>
      <x:c r="E8" s="17" t="str">
        <x:v>Risk treatment actions are not tracked may affect the confidentiality, integrity, availability or resilience of critical services and network and information systems.</x:v>
      </x:c>
      <x:c r="F8" s="17" t="str">
        <x:v>Controls remain unimplemented and residual risk remains unknown.</x:v>
      </x:c>
      <x:c r="G8" s="17" t="str">
        <x:v>Art.21(2)(a) risk analysis and information system security policies; Art.21(2)(f) effectiveness assessment</x:v>
      </x:c>
      <x:c r="H8" s="17" t="str">
        <x:v>Enterprise services, critical processes, information systems, suppliers</x:v>
      </x:c>
      <x:c r="I8" s="17" t="str">
        <x:v>Medium</x:v>
      </x:c>
      <x:c r="J8" s="17" t="str">
        <x:v>High</x:v>
      </x:c>
      <x:c r="K8" s="17" t="str">
        <x:v>High</x:v>
      </x:c>
      <x:c r="L8" s="17" t="str">
        <x:v>Mitigate</x:v>
      </x:c>
      <x:c r="M8" s="17" t="str">
        <x:v>Maintain a risk treatment plan with owners, target dates, status and evidence.</x:v>
      </x:c>
      <x:c r="N8" s="17" t="str">
        <x:v>Risk treatment plan, remediation tracker, status reporting, overdue escalation</x:v>
      </x:c>
      <x:c r="O8" s="17" t="str">
        <x:v>Treatment plan; remediation tickets; status reports; closure evidence</x:v>
      </x:c>
      <x:c r="P8" s="17" t="str">
        <x:v>CISO / PMO</x:v>
      </x:c>
      <x:c r="Q8" s="17" t="str">
        <x:v>Quarterly</x:v>
      </x:c>
      <x:c r="R8" s="17" t="str">
        <x:v>NIS2; Risk treatment; Remediation</x:v>
      </x:c>
      <x:c r="S8" s="17" t="str">
        <x:v>Not Assessed</x:v>
      </x:c>
      <x:c r="T8" s="17" t="str">
        <x:v>https://eur-lex.europa.eu/eli/dir/2022/2555/oj/eng</x:v>
      </x:c>
      <x:c r="U8" s="17" t="str"/>
    </x:row>
    <x:row r="9" ht="72" customHeight="1">
      <x:c r="A9" s="17" t="str">
        <x:v>CYR-008</x:v>
      </x:c>
      <x:c r="B9" s="17" t="str">
        <x:v>NIS2 Art.21 Cybersecurity Risk Management</x:v>
      </x:c>
      <x:c r="C9" s="17" t="str">
        <x:v>Governance &amp; Risk Management</x:v>
      </x:c>
      <x:c r="D9" s="17" t="str">
        <x:v>Residual risks are accepted without approval</x:v>
      </x:c>
      <x:c r="E9" s="17" t="str">
        <x:v>Residual risks are accepted without approval may affect the confidentiality, integrity, availability or resilience of critical services and network and information systems.</x:v>
      </x:c>
      <x:c r="F9" s="17" t="str">
        <x:v>Excessive or unmanaged exposure is retained without informed management accountability.</x:v>
      </x:c>
      <x:c r="G9" s="17" t="str">
        <x:v>Art.21(2)(a) risk analysis and information system security policies; Art.21(2)(f) effectiveness assessment</x:v>
      </x:c>
      <x:c r="H9" s="17" t="str">
        <x:v>Enterprise services, critical processes, information systems, suppliers</x:v>
      </x:c>
      <x:c r="I9" s="17" t="str">
        <x:v>Medium</x:v>
      </x:c>
      <x:c r="J9" s="17" t="str">
        <x:v>High</x:v>
      </x:c>
      <x:c r="K9" s="17" t="str">
        <x:v>High</x:v>
      </x:c>
      <x:c r="L9" s="17" t="str">
        <x:v>Mitigate</x:v>
      </x:c>
      <x:c r="M9" s="17" t="str">
        <x:v>Require formal residual-risk acceptance with justification and management approval.</x:v>
      </x:c>
      <x:c r="N9" s="17" t="str">
        <x:v>Residual risk approval workflow, acceptance thresholds, expiry dates</x:v>
      </x:c>
      <x:c r="O9" s="17" t="str">
        <x:v>Risk acceptance forms; approval records; review/expiry logs</x:v>
      </x:c>
      <x:c r="P9" s="17" t="str">
        <x:v>Management Body / Risk Manager</x:v>
      </x:c>
      <x:c r="Q9" s="17" t="str">
        <x:v>Quarterly</x:v>
      </x:c>
      <x:c r="R9" s="17" t="str">
        <x:v>NIS2; Residual risk; Acceptance</x:v>
      </x:c>
      <x:c r="S9" s="17" t="str">
        <x:v>Not Assessed</x:v>
      </x:c>
      <x:c r="T9" s="17" t="str">
        <x:v>https://eur-lex.europa.eu/eli/dir/2022/2555/oj/eng</x:v>
      </x:c>
      <x:c r="U9" s="17" t="str"/>
    </x:row>
    <x:row r="10" ht="72" customHeight="1">
      <x:c r="A10" s="17" t="str">
        <x:v>CYR-009</x:v>
      </x:c>
      <x:c r="B10" s="17" t="str">
        <x:v>NIS2 Art.21 Cybersecurity Risk Management</x:v>
      </x:c>
      <x:c r="C10" s="17" t="str">
        <x:v>Governance &amp; Risk Management</x:v>
      </x:c>
      <x:c r="D10" s="17" t="str">
        <x:v>Management does not oversee cybersecurity risk</x:v>
      </x:c>
      <x:c r="E10" s="17" t="str">
        <x:v>Management does not oversee cybersecurity risk may affect the confidentiality, integrity, availability or resilience of critical services and network and information systems.</x:v>
      </x:c>
      <x:c r="F10" s="17" t="str">
        <x:v>Weak governance, poor prioritization and increased accountability exposure.</x:v>
      </x:c>
      <x:c r="G10" s="17" t="str">
        <x:v>Art.20 management accountability; Art.21 cybersecurity risk-management measures</x:v>
      </x:c>
      <x:c r="H10" s="17" t="str">
        <x:v>Enterprise risk governance, cyber risk dashboard, management committees</x:v>
      </x:c>
      <x:c r="I10" s="17" t="str">
        <x:v>Medium</x:v>
      </x:c>
      <x:c r="J10" s="17" t="str">
        <x:v>High</x:v>
      </x:c>
      <x:c r="K10" s="17" t="str">
        <x:v>High</x:v>
      </x:c>
      <x:c r="L10" s="17" t="str">
        <x:v>Mitigate</x:v>
      </x:c>
      <x:c r="M10" s="17" t="str">
        <x:v>Establish recurring management oversight of cybersecurity risk and resilience.</x:v>
      </x:c>
      <x:c r="N10" s="17" t="str">
        <x:v>Management reporting, cyber risk committee, board updates, KPI/KRI monitoring</x:v>
      </x:c>
      <x:c r="O10" s="17" t="str">
        <x:v>Management meeting minutes; cyber risk dashboards; decision logs</x:v>
      </x:c>
      <x:c r="P10" s="17" t="str">
        <x:v>Management Body / CISO</x:v>
      </x:c>
      <x:c r="Q10" s="17" t="str">
        <x:v>Quarterly</x:v>
      </x:c>
      <x:c r="R10" s="17" t="str">
        <x:v>NIS2; Management oversight; Governance</x:v>
      </x:c>
      <x:c r="S10" s="17" t="str">
        <x:v>Not Assessed</x:v>
      </x:c>
      <x:c r="T10" s="17" t="str">
        <x:v>https://eur-lex.europa.eu/eli/dir/2022/2555/oj/eng</x:v>
      </x:c>
      <x:c r="U10" s="17" t="str"/>
    </x:row>
    <x:row r="11" ht="72" customHeight="1">
      <x:c r="A11" s="17" t="str">
        <x:v>CYR-010</x:v>
      </x:c>
      <x:c r="B11" s="17" t="str">
        <x:v>NIS2 Art.21 Cybersecurity Risk Management</x:v>
      </x:c>
      <x:c r="C11" s="17" t="str">
        <x:v>Governance &amp; Risk Management</x:v>
      </x:c>
      <x:c r="D11" s="17" t="str">
        <x:v>Cybersecurity controls are not periodically reviewed</x:v>
      </x:c>
      <x:c r="E11" s="17" t="str">
        <x:v>Cybersecurity controls are not periodically reviewed may affect the confidentiality, integrity, availability or resilience of critical services and network and information systems.</x:v>
      </x:c>
      <x:c r="F11" s="17" t="str">
        <x:v>Controls become outdated, ineffective or misaligned to current threats.</x:v>
      </x:c>
      <x:c r="G11" s="17" t="str">
        <x:v>Art.21(2)(f) policies and procedures to assess effectiveness of cybersecurity risk-management measures</x:v>
      </x:c>
      <x:c r="H11" s="17" t="str">
        <x:v>Controls, policies, technical safeguards, third-party controls</x:v>
      </x:c>
      <x:c r="I11" s="17" t="str">
        <x:v>Medium</x:v>
      </x:c>
      <x:c r="J11" s="17" t="str">
        <x:v>High</x:v>
      </x:c>
      <x:c r="K11" s="17" t="str">
        <x:v>Medium</x:v>
      </x:c>
      <x:c r="L11" s="17" t="str">
        <x:v>Mitigate</x:v>
      </x:c>
      <x:c r="M11" s="17" t="str">
        <x:v>Perform scheduled control effectiveness reviews and track improvement actions.</x:v>
      </x:c>
      <x:c r="N11" s="17" t="str">
        <x:v>Control testing, internal audits, maturity assessments, effectiveness KPIs</x:v>
      </x:c>
      <x:c r="O11" s="17" t="str">
        <x:v>Control test results; audit reports; improvement actions; KPI reports</x:v>
      </x:c>
      <x:c r="P11" s="17" t="str">
        <x:v>Internal Audit / CISO</x:v>
      </x:c>
      <x:c r="Q11" s="17" t="str">
        <x:v>Quarterly</x:v>
      </x:c>
      <x:c r="R11" s="17" t="str">
        <x:v>NIS2; Control effectiveness; Assurance</x:v>
      </x:c>
      <x:c r="S11" s="17" t="str">
        <x:v>Not Assessed</x:v>
      </x:c>
      <x:c r="T11" s="17" t="str">
        <x:v>https://eur-lex.europa.eu/eli/dir/2022/2555/oj/eng</x:v>
      </x:c>
      <x:c r="U11" s="17" t="str"/>
    </x:row>
    <x:row r="12" ht="72" customHeight="1">
      <x:c r="A12" s="17" t="str">
        <x:v>CYR-011</x:v>
      </x:c>
      <x:c r="B12" s="17" t="str">
        <x:v>NIS2 Art.21 Cybersecurity Risk Management</x:v>
      </x:c>
      <x:c r="C12" s="17" t="str">
        <x:v>Identity &amp; Access Management</x:v>
      </x:c>
      <x:c r="D12" s="17" t="str">
        <x:v>Weak password practices</x:v>
      </x:c>
      <x:c r="E12" s="17" t="str">
        <x:v>Weak password practices may affect the confidentiality, integrity, availability or resilience of critical services and network and information systems.</x:v>
      </x:c>
      <x:c r="F12" s="17" t="str">
        <x:v>Account compromise, credential stuffing and unauthorized access.</x:v>
      </x:c>
      <x:c r="G12" s="17" t="str">
        <x:v>Art.21(2)(i) human resources security, access control and asset management; Art.21(2)(j) MFA/continuous authentication and secured communications</x:v>
      </x:c>
      <x:c r="H12" s="17" t="str">
        <x:v>Users, privileged accounts, IAM, remote access, critical applications</x:v>
      </x:c>
      <x:c r="I12" s="17" t="str">
        <x:v>Medium</x:v>
      </x:c>
      <x:c r="J12" s="17" t="str">
        <x:v>High</x:v>
      </x:c>
      <x:c r="K12" s="17" t="str">
        <x:v>High</x:v>
      </x:c>
      <x:c r="L12" s="17" t="str">
        <x:v>Mitigate</x:v>
      </x:c>
      <x:c r="M12" s="17" t="str">
        <x:v>Enforce strong authentication and password policy controls.</x:v>
      </x:c>
      <x:c r="N12" s="17" t="str">
        <x:v>Password policy, banned passwords, account lockout, password manager guidance</x:v>
      </x:c>
      <x:c r="O12" s="17" t="str">
        <x:v>IAM policy; password policy settings; audit reports</x:v>
      </x:c>
      <x:c r="P12" s="17" t="str">
        <x:v>IAM Owner / IT Security</x:v>
      </x:c>
      <x:c r="Q12" s="17" t="str">
        <x:v>Quarterly</x:v>
      </x:c>
      <x:c r="R12" s="17" t="str">
        <x:v>NIS2; IAM; Authentication</x:v>
      </x:c>
      <x:c r="S12" s="17" t="str">
        <x:v>Not Assessed</x:v>
      </x:c>
      <x:c r="T12" s="17" t="str">
        <x:v>https://eur-lex.europa.eu/eli/dir/2022/2555/oj/eng</x:v>
      </x:c>
      <x:c r="U12" s="17" t="str"/>
    </x:row>
    <x:row r="13" ht="72" customHeight="1">
      <x:c r="A13" s="17" t="str">
        <x:v>CYR-012</x:v>
      </x:c>
      <x:c r="B13" s="17" t="str">
        <x:v>NIS2 Art.21 Cybersecurity Risk Management</x:v>
      </x:c>
      <x:c r="C13" s="17" t="str">
        <x:v>Identity &amp; Access Management</x:v>
      </x:c>
      <x:c r="D13" s="17" t="str">
        <x:v>Absence of multi-factor authentication</x:v>
      </x:c>
      <x:c r="E13" s="17" t="str">
        <x:v>Absence of multi-factor authentication may affect the confidentiality, integrity, availability or resilience of critical services and network and information systems.</x:v>
      </x:c>
      <x:c r="F13" s="17" t="str">
        <x:v>Higher likelihood of account takeover, especially for privileged and remote access.</x:v>
      </x:c>
      <x:c r="G13" s="17" t="str">
        <x:v>Art.21(2)(i) human resources security, access control and asset management; Art.21(2)(j) MFA/continuous authentication and secured communications</x:v>
      </x:c>
      <x:c r="H13" s="17" t="str">
        <x:v>Users, privileged accounts, IAM, remote access, critical applications</x:v>
      </x:c>
      <x:c r="I13" s="17" t="str">
        <x:v>Medium</x:v>
      </x:c>
      <x:c r="J13" s="17" t="str">
        <x:v>High</x:v>
      </x:c>
      <x:c r="K13" s="17" t="str">
        <x:v>Critical</x:v>
      </x:c>
      <x:c r="L13" s="17" t="str">
        <x:v>Mitigate</x:v>
      </x:c>
      <x:c r="M13" s="17" t="str">
        <x:v>Enable MFA for privileged accounts, remote access, cloud consoles and critical applications.</x:v>
      </x:c>
      <x:c r="N13" s="17" t="str">
        <x:v>MFA enforcement, conditional access, privileged MFA, exception reviews</x:v>
      </x:c>
      <x:c r="O13" s="17" t="str">
        <x:v>MFA configuration reports; exception register; access logs</x:v>
      </x:c>
      <x:c r="P13" s="17" t="str">
        <x:v>IAM Owner / IT Security</x:v>
      </x:c>
      <x:c r="Q13" s="17" t="str">
        <x:v>Quarterly</x:v>
      </x:c>
      <x:c r="R13" s="17" t="str">
        <x:v>NIS2; MFA; Privileged access</x:v>
      </x:c>
      <x:c r="S13" s="17" t="str">
        <x:v>Not Assessed</x:v>
      </x:c>
      <x:c r="T13" s="17" t="str">
        <x:v>https://eur-lex.europa.eu/eli/dir/2022/2555/oj/eng</x:v>
      </x:c>
      <x:c r="U13" s="17" t="str"/>
    </x:row>
    <x:row r="14" ht="72" customHeight="1">
      <x:c r="A14" s="17" t="str">
        <x:v>CYR-013</x:v>
      </x:c>
      <x:c r="B14" s="17" t="str">
        <x:v>NIS2 Art.21 Cybersecurity Risk Management</x:v>
      </x:c>
      <x:c r="C14" s="17" t="str">
        <x:v>Identity &amp; Access Management</x:v>
      </x:c>
      <x:c r="D14" s="17" t="str">
        <x:v>Excessive user privileges</x:v>
      </x:c>
      <x:c r="E14" s="17" t="str">
        <x:v>Excessive user privileges may affect the confidentiality, integrity, availability or resilience of critical services and network and information systems.</x:v>
      </x:c>
      <x:c r="F14" s="17" t="str">
        <x:v>Privilege abuse, data exposure and lateral movement after compromise.</x:v>
      </x:c>
      <x:c r="G14" s="17" t="str">
        <x:v>Art.21(2)(i) human resources security, access control and asset management; Art.21(2)(j) MFA/continuous authentication and secured communications</x:v>
      </x:c>
      <x:c r="H14" s="17" t="str">
        <x:v>Users, privileged accounts, IAM, remote access, critical applications</x:v>
      </x:c>
      <x:c r="I14" s="17" t="str">
        <x:v>Medium</x:v>
      </x:c>
      <x:c r="J14" s="17" t="str">
        <x:v>High</x:v>
      </x:c>
      <x:c r="K14" s="17" t="str">
        <x:v>High</x:v>
      </x:c>
      <x:c r="L14" s="17" t="str">
        <x:v>Mitigate</x:v>
      </x:c>
      <x:c r="M14" s="17" t="str">
        <x:v>Apply least privilege and role-based access controls.</x:v>
      </x:c>
      <x:c r="N14" s="17" t="str">
        <x:v>RBAC, access request approvals, least privilege, privileged access reviews</x:v>
      </x:c>
      <x:c r="O14" s="17" t="str">
        <x:v>Access matrices; approval records; access review reports</x:v>
      </x:c>
      <x:c r="P14" s="17" t="str">
        <x:v>Application Owners / IAM Owner</x:v>
      </x:c>
      <x:c r="Q14" s="17" t="str">
        <x:v>Quarterly</x:v>
      </x:c>
      <x:c r="R14" s="17" t="str">
        <x:v>NIS2; Access control; Least privilege</x:v>
      </x:c>
      <x:c r="S14" s="17" t="str">
        <x:v>Not Assessed</x:v>
      </x:c>
      <x:c r="T14" s="17" t="str">
        <x:v>https://eur-lex.europa.eu/eli/dir/2022/2555/oj/eng</x:v>
      </x:c>
      <x:c r="U14" s="17" t="str"/>
    </x:row>
    <x:row r="15" ht="72" customHeight="1">
      <x:c r="A15" s="17" t="str">
        <x:v>CYR-014</x:v>
      </x:c>
      <x:c r="B15" s="17" t="str">
        <x:v>NIS2 Art.21 Cybersecurity Risk Management</x:v>
      </x:c>
      <x:c r="C15" s="17" t="str">
        <x:v>Identity &amp; Access Management</x:v>
      </x:c>
      <x:c r="D15" s="17" t="str">
        <x:v>Privileged accounts are not monitored</x:v>
      </x:c>
      <x:c r="E15" s="17" t="str">
        <x:v>Privileged accounts are not monitored may affect the confidentiality, integrity, availability or resilience of critical services and network and information systems.</x:v>
      </x:c>
      <x:c r="F15" s="17" t="str">
        <x:v>Misuse of admin access may remain undetected.</x:v>
      </x:c>
      <x:c r="G15" s="17" t="str">
        <x:v>Art.21(2)(i) human resources security, access control and asset management; Art.21(2)(j) MFA/continuous authentication and secured communications</x:v>
      </x:c>
      <x:c r="H15" s="17" t="str">
        <x:v>Privileged accounts, domain admins, cloud admins, database admins</x:v>
      </x:c>
      <x:c r="I15" s="17" t="str">
        <x:v>Medium</x:v>
      </x:c>
      <x:c r="J15" s="17" t="str">
        <x:v>High</x:v>
      </x:c>
      <x:c r="K15" s="17" t="str">
        <x:v>Critical</x:v>
      </x:c>
      <x:c r="L15" s="17" t="str">
        <x:v>Mitigate</x:v>
      </x:c>
      <x:c r="M15" s="17" t="str">
        <x:v>Implement privileged access management and monitor administrator activity.</x:v>
      </x:c>
      <x:c r="N15" s="17" t="str">
        <x:v>PAM, session logging, admin alerts, break-glass account controls</x:v>
      </x:c>
      <x:c r="O15" s="17" t="str">
        <x:v>PAM reports; privileged access logs; alert records; break-glass review</x:v>
      </x:c>
      <x:c r="P15" s="17" t="str">
        <x:v>IAM Owner / SOC Manager</x:v>
      </x:c>
      <x:c r="Q15" s="17" t="str">
        <x:v>Quarterly</x:v>
      </x:c>
      <x:c r="R15" s="17" t="str">
        <x:v>NIS2; PAM; Monitoring</x:v>
      </x:c>
      <x:c r="S15" s="17" t="str">
        <x:v>Not Assessed</x:v>
      </x:c>
      <x:c r="T15" s="17" t="str">
        <x:v>https://eur-lex.europa.eu/eli/dir/2022/2555/oj/eng</x:v>
      </x:c>
      <x:c r="U15" s="17" t="str"/>
    </x:row>
    <x:row r="16" ht="72" customHeight="1">
      <x:c r="A16" s="17" t="str">
        <x:v>CYR-015</x:v>
      </x:c>
      <x:c r="B16" s="17" t="str">
        <x:v>NIS2 Art.21 Cybersecurity Risk Management</x:v>
      </x:c>
      <x:c r="C16" s="17" t="str">
        <x:v>Identity &amp; Access Management</x:v>
      </x:c>
      <x:c r="D16" s="17" t="str">
        <x:v>Dormant or orphaned accounts remain active</x:v>
      </x:c>
      <x:c r="E16" s="17" t="str">
        <x:v>Dormant or orphaned accounts remain active may affect the confidentiality, integrity, availability or resilience of critical services and network and information systems.</x:v>
      </x:c>
      <x:c r="F16" s="17" t="str">
        <x:v>Unauthorized access after employee exit, role change or supplier termination.</x:v>
      </x:c>
      <x:c r="G16" s="17" t="str">
        <x:v>Art.21(2)(i) human resources security, access control and asset management; Art.21(2)(j) MFA/continuous authentication and secured communications</x:v>
      </x:c>
      <x:c r="H16" s="17" t="str">
        <x:v>User accounts, supplier accounts, service accounts, SaaS accounts</x:v>
      </x:c>
      <x:c r="I16" s="17" t="str">
        <x:v>Medium</x:v>
      </x:c>
      <x:c r="J16" s="17" t="str">
        <x:v>High</x:v>
      </x:c>
      <x:c r="K16" s="17" t="str">
        <x:v>High</x:v>
      </x:c>
      <x:c r="L16" s="17" t="str">
        <x:v>Mitigate</x:v>
      </x:c>
      <x:c r="M16" s="17" t="str">
        <x:v>Automate and review joiner/mover/leaver account lifecycle processes.</x:v>
      </x:c>
      <x:c r="N16" s="17" t="str">
        <x:v>JML workflow, HR integration, periodic dormant account review</x:v>
      </x:c>
      <x:c r="O16" s="17" t="str">
        <x:v>JML records; terminated-user reports; deactivation logs</x:v>
      </x:c>
      <x:c r="P16" s="17" t="str">
        <x:v>HR / IAM Owner</x:v>
      </x:c>
      <x:c r="Q16" s="17" t="str">
        <x:v>Quarterly</x:v>
      </x:c>
      <x:c r="R16" s="17" t="str">
        <x:v>NIS2; JML; Account lifecycle</x:v>
      </x:c>
      <x:c r="S16" s="17" t="str">
        <x:v>Not Assessed</x:v>
      </x:c>
      <x:c r="T16" s="17" t="str">
        <x:v>https://eur-lex.europa.eu/eli/dir/2022/2555/oj/eng</x:v>
      </x:c>
      <x:c r="U16" s="17" t="str"/>
    </x:row>
    <x:row r="17" ht="72" customHeight="1">
      <x:c r="A17" s="17" t="str">
        <x:v>CYR-016</x:v>
      </x:c>
      <x:c r="B17" s="17" t="str">
        <x:v>NIS2 Art.21 Cybersecurity Risk Management</x:v>
      </x:c>
      <x:c r="C17" s="17" t="str">
        <x:v>Identity &amp; Access Management</x:v>
      </x:c>
      <x:c r="D17" s="17" t="str">
        <x:v>Shared administrator accounts</x:v>
      </x:c>
      <x:c r="E17" s="17" t="str">
        <x:v>Shared administrator accounts may affect the confidentiality, integrity, availability or resilience of critical services and network and information systems.</x:v>
      </x:c>
      <x:c r="F17" s="17" t="str">
        <x:v>Lack of accountability and weak traceability for privileged actions.</x:v>
      </x:c>
      <x:c r="G17" s="17" t="str">
        <x:v>Art.21(2)(i) human resources security, access control and asset management; Art.21(2)(j) MFA/continuous authentication and secured communications</x:v>
      </x:c>
      <x:c r="H17" s="17" t="str">
        <x:v>Administrative accounts, servers, databases, network devices</x:v>
      </x:c>
      <x:c r="I17" s="17" t="str">
        <x:v>Medium</x:v>
      </x:c>
      <x:c r="J17" s="17" t="str">
        <x:v>High</x:v>
      </x:c>
      <x:c r="K17" s="17" t="str">
        <x:v>High</x:v>
      </x:c>
      <x:c r="L17" s="17" t="str">
        <x:v>Mitigate</x:v>
      </x:c>
      <x:c r="M17" s="17" t="str">
        <x:v>Use named privileged accounts and eliminate shared administrator accounts where possible.</x:v>
      </x:c>
      <x:c r="N17" s="17" t="str">
        <x:v>Named admin accounts, PAM checkout, session recording, access attribution</x:v>
      </x:c>
      <x:c r="O17" s="17" t="str">
        <x:v>Admin account inventory; PAM logs; shared account exception approvals</x:v>
      </x:c>
      <x:c r="P17" s="17" t="str">
        <x:v>IT Operations / IAM Owner</x:v>
      </x:c>
      <x:c r="Q17" s="17" t="str">
        <x:v>Quarterly</x:v>
      </x:c>
      <x:c r="R17" s="17" t="str">
        <x:v>NIS2; Admin access; Accountability</x:v>
      </x:c>
      <x:c r="S17" s="17" t="str">
        <x:v>Not Assessed</x:v>
      </x:c>
      <x:c r="T17" s="17" t="str">
        <x:v>https://eur-lex.europa.eu/eli/dir/2022/2555/oj/eng</x:v>
      </x:c>
      <x:c r="U17" s="17" t="str"/>
    </x:row>
    <x:row r="18" ht="72" customHeight="1">
      <x:c r="A18" s="17" t="str">
        <x:v>CYR-017</x:v>
      </x:c>
      <x:c r="B18" s="17" t="str">
        <x:v>NIS2 Art.21 Cybersecurity Risk Management</x:v>
      </x:c>
      <x:c r="C18" s="17" t="str">
        <x:v>Identity &amp; Access Management</x:v>
      </x:c>
      <x:c r="D18" s="17" t="str">
        <x:v>Poor access reviews</x:v>
      </x:c>
      <x:c r="E18" s="17" t="str">
        <x:v>Poor access reviews may affect the confidentiality, integrity, availability or resilience of critical services and network and information systems.</x:v>
      </x:c>
      <x:c r="F18" s="17" t="str">
        <x:v>Accumulated access rights increase unauthorized access and fraud risk.</x:v>
      </x:c>
      <x:c r="G18" s="17" t="str">
        <x:v>Art.21(2)(i) human resources security, access control and asset management; Art.21(2)(j) MFA/continuous authentication and secured communications</x:v>
      </x:c>
      <x:c r="H18" s="17" t="str">
        <x:v>IAM, applications, databases, file shares, SaaS platforms</x:v>
      </x:c>
      <x:c r="I18" s="17" t="str">
        <x:v>Medium</x:v>
      </x:c>
      <x:c r="J18" s="17" t="str">
        <x:v>High</x:v>
      </x:c>
      <x:c r="K18" s="17" t="str">
        <x:v>High</x:v>
      </x:c>
      <x:c r="L18" s="17" t="str">
        <x:v>Mitigate</x:v>
      </x:c>
      <x:c r="M18" s="17" t="str">
        <x:v>Perform periodic access recertification for users, privileged accounts and suppliers.</x:v>
      </x:c>
      <x:c r="N18" s="17" t="str">
        <x:v>Quarterly access reviews, privilege review, business owner certification</x:v>
      </x:c>
      <x:c r="O18" s="17" t="str">
        <x:v>Access review reports; revoked access list; certification approvals</x:v>
      </x:c>
      <x:c r="P18" s="17" t="str">
        <x:v>IAM Owner / Application Owners</x:v>
      </x:c>
      <x:c r="Q18" s="17" t="str">
        <x:v>Quarterly</x:v>
      </x:c>
      <x:c r="R18" s="17" t="str">
        <x:v>NIS2; Access review; Recertification</x:v>
      </x:c>
      <x:c r="S18" s="17" t="str">
        <x:v>Not Assessed</x:v>
      </x:c>
      <x:c r="T18" s="17" t="str">
        <x:v>https://eur-lex.europa.eu/eli/dir/2022/2555/oj/eng</x:v>
      </x:c>
      <x:c r="U18" s="17" t="str"/>
    </x:row>
    <x:row r="19" ht="72" customHeight="1">
      <x:c r="A19" s="17" t="str">
        <x:v>CYR-018</x:v>
      </x:c>
      <x:c r="B19" s="17" t="str">
        <x:v>NIS2 Art.21 Cybersecurity Risk Management</x:v>
      </x:c>
      <x:c r="C19" s="17" t="str">
        <x:v>Identity &amp; Access Management</x:v>
      </x:c>
      <x:c r="D19" s="17" t="str">
        <x:v>Weak remote access controls</x:v>
      </x:c>
      <x:c r="E19" s="17" t="str">
        <x:v>Weak remote access controls may affect the confidentiality, integrity, availability or resilience of critical services and network and information systems.</x:v>
      </x:c>
      <x:c r="F19" s="17" t="str">
        <x:v>Unauthorized entry into internal systems or cloud environments.</x:v>
      </x:c>
      <x:c r="G19" s="17" t="str">
        <x:v>Art.21(2)(i) human resources security, access control and asset management; Art.21(2)(j) MFA/continuous authentication and secured communications</x:v>
      </x:c>
      <x:c r="H19" s="17" t="str">
        <x:v>VPN, ZTNA, remote desktop, cloud admin portals</x:v>
      </x:c>
      <x:c r="I19" s="17" t="str">
        <x:v>Medium</x:v>
      </x:c>
      <x:c r="J19" s="17" t="str">
        <x:v>High</x:v>
      </x:c>
      <x:c r="K19" s="17" t="str">
        <x:v>Critical</x:v>
      </x:c>
      <x:c r="L19" s="17" t="str">
        <x:v>Mitigate</x:v>
      </x:c>
      <x:c r="M19" s="17" t="str">
        <x:v>Secure remote access using VPN/ZTNA, MFA, device checks and monitoring.</x:v>
      </x:c>
      <x:c r="N19" s="17" t="str">
        <x:v>ZTNA/VPN security, MFA, endpoint compliance checks, restricted RDP/SSH</x:v>
      </x:c>
      <x:c r="O19" s="17" t="str">
        <x:v>Remote access policy; VPN/ZTNA settings; MFA logs; access logs</x:v>
      </x:c>
      <x:c r="P19" s="17" t="str">
        <x:v>Network Security / IAM Owner</x:v>
      </x:c>
      <x:c r="Q19" s="17" t="str">
        <x:v>Quarterly</x:v>
      </x:c>
      <x:c r="R19" s="17" t="str">
        <x:v>NIS2; Remote access; MFA</x:v>
      </x:c>
      <x:c r="S19" s="17" t="str">
        <x:v>Not Assessed</x:v>
      </x:c>
      <x:c r="T19" s="17" t="str">
        <x:v>https://eur-lex.europa.eu/eli/dir/2022/2555/oj/eng</x:v>
      </x:c>
      <x:c r="U19" s="17" t="str"/>
    </x:row>
    <x:row r="20" ht="72" customHeight="1">
      <x:c r="A20" s="17" t="str">
        <x:v>CYR-019</x:v>
      </x:c>
      <x:c r="B20" s="17" t="str">
        <x:v>NIS2 Art.21 Cybersecurity Risk Management</x:v>
      </x:c>
      <x:c r="C20" s="17" t="str">
        <x:v>Identity &amp; Access Management</x:v>
      </x:c>
      <x:c r="D20" s="17" t="str">
        <x:v>Lack of segregation of duties</x:v>
      </x:c>
      <x:c r="E20" s="17" t="str">
        <x:v>Lack of segregation of duties may affect the confidentiality, integrity, availability or resilience of critical services and network and information systems.</x:v>
      </x:c>
      <x:c r="F20" s="17" t="str">
        <x:v>Fraud, unauthorized changes or unreviewed administrative activity.</x:v>
      </x:c>
      <x:c r="G20" s="17" t="str">
        <x:v>Art.21(2)(i) human resources security, access control and asset management; Art.21(2)(j) MFA/continuous authentication and secured communications</x:v>
      </x:c>
      <x:c r="H20" s="17" t="str">
        <x:v>Finance systems, admin roles, change management, production deployments</x:v>
      </x:c>
      <x:c r="I20" s="17" t="str">
        <x:v>Medium</x:v>
      </x:c>
      <x:c r="J20" s="17" t="str">
        <x:v>High</x:v>
      </x:c>
      <x:c r="K20" s="17" t="str">
        <x:v>Medium</x:v>
      </x:c>
      <x:c r="L20" s="17" t="str">
        <x:v>Mitigate</x:v>
      </x:c>
      <x:c r="M20" s="17" t="str">
        <x:v>Define incompatible roles and enforce segregation of duties for critical processes.</x:v>
      </x:c>
      <x:c r="N20" s="17" t="str">
        <x:v>SoD matrix, role design, conflict checks, compensating controls</x:v>
      </x:c>
      <x:c r="O20" s="17" t="str">
        <x:v>SoD matrix; role definitions; conflict reports; approvals</x:v>
      </x:c>
      <x:c r="P20" s="17" t="str">
        <x:v>Compliance Manager / Application Owners</x:v>
      </x:c>
      <x:c r="Q20" s="17" t="str">
        <x:v>Quarterly</x:v>
      </x:c>
      <x:c r="R20" s="17" t="str">
        <x:v>NIS2; SoD; Access governance</x:v>
      </x:c>
      <x:c r="S20" s="17" t="str">
        <x:v>Not Assessed</x:v>
      </x:c>
      <x:c r="T20" s="17" t="str">
        <x:v>https://eur-lex.europa.eu/eli/dir/2022/2555/oj/eng</x:v>
      </x:c>
      <x:c r="U20" s="17" t="str"/>
    </x:row>
    <x:row r="21" ht="72" customHeight="1">
      <x:c r="A21" s="17" t="str">
        <x:v>CYR-020</x:v>
      </x:c>
      <x:c r="B21" s="17" t="str">
        <x:v>NIS2 Art.21 Cybersecurity Risk Management</x:v>
      </x:c>
      <x:c r="C21" s="17" t="str">
        <x:v>Identity &amp; Access Management</x:v>
      </x:c>
      <x:c r="D21" s="17" t="str">
        <x:v>Inadequate HR security checks for sensitive roles</x:v>
      </x:c>
      <x:c r="E21" s="17" t="str">
        <x:v>Inadequate HR security checks for sensitive roles may affect the confidentiality, integrity, availability or resilience of critical services and network and information systems.</x:v>
      </x:c>
      <x:c r="F21" s="17" t="str">
        <x:v>Insider risk and unauthorized access to critical information or systems.</x:v>
      </x:c>
      <x:c r="G21" s="17" t="str">
        <x:v>Art.21(2)(i) human resources security, access control and asset management; Art.21(2)(j) MFA/continuous authentication and secured communications</x:v>
      </x:c>
      <x:c r="H21" s="17" t="str">
        <x:v>Employees, contractors, privileged users, critical operations roles</x:v>
      </x:c>
      <x:c r="I21" s="17" t="str">
        <x:v>Medium</x:v>
      </x:c>
      <x:c r="J21" s="17" t="str">
        <x:v>High</x:v>
      </x:c>
      <x:c r="K21" s="17" t="str">
        <x:v>Medium</x:v>
      </x:c>
      <x:c r="L21" s="17" t="str">
        <x:v>Mitigate</x:v>
      </x:c>
      <x:c r="M21" s="17" t="str">
        <x:v>Apply appropriate screening, confidentiality obligations and role-based access controls.</x:v>
      </x:c>
      <x:c r="N21" s="17" t="str">
        <x:v>Pre-employment screening, confidentiality agreements, role-based onboarding</x:v>
      </x:c>
      <x:c r="O21" s="17" t="str">
        <x:v>Screening records; signed confidentiality agreements; HR security procedure</x:v>
      </x:c>
      <x:c r="P21" s="17" t="str">
        <x:v>HR / Compliance Manager</x:v>
      </x:c>
      <x:c r="Q21" s="17" t="str">
        <x:v>Quarterly</x:v>
      </x:c>
      <x:c r="R21" s="17" t="str">
        <x:v>NIS2; HR security; Insider risk</x:v>
      </x:c>
      <x:c r="S21" s="17" t="str">
        <x:v>Not Assessed</x:v>
      </x:c>
      <x:c r="T21" s="17" t="str">
        <x:v>https://eur-lex.europa.eu/eli/dir/2022/2555/oj/eng</x:v>
      </x:c>
      <x:c r="U21" s="17" t="str"/>
    </x:row>
    <x:row r="22" ht="72" customHeight="1">
      <x:c r="A22" s="17" t="str">
        <x:v>CYR-021</x:v>
      </x:c>
      <x:c r="B22" s="17" t="str">
        <x:v>NIS2 Art.21 Cybersecurity Risk Management</x:v>
      </x:c>
      <x:c r="C22" s="17" t="str">
        <x:v>Network &amp; Infrastructure Security</x:v>
      </x:c>
      <x:c r="D22" s="17" t="str">
        <x:v>Unsupported operating systems or software</x:v>
      </x:c>
      <x:c r="E22" s="17" t="str">
        <x:v>Unsupported operating systems or software may affect the confidentiality, integrity, availability or resilience of critical services and network and information systems.</x:v>
      </x:c>
      <x:c r="F22" s="17" t="str">
        <x:v>Exploitation of known vulnerabilities and inability to receive security fixes.</x:v>
      </x:c>
      <x:c r="G22" s="17" t="str">
        <x:v>Art.21(2)(e) security in acquisition, development and maintenance, including vulnerability handling; Art.21(2)(i) asset management</x:v>
      </x:c>
      <x:c r="H22" s="17" t="str">
        <x:v>Servers, endpoints, network devices, cloud infrastructure, security tools</x:v>
      </x:c>
      <x:c r="I22" s="17" t="str">
        <x:v>High</x:v>
      </x:c>
      <x:c r="J22" s="17" t="str">
        <x:v>High</x:v>
      </x:c>
      <x:c r="K22" s="17" t="str">
        <x:v>Critical</x:v>
      </x:c>
      <x:c r="L22" s="17" t="str">
        <x:v>Mitigate</x:v>
      </x:c>
      <x:c r="M22" s="17" t="str">
        <x:v>Upgrade, isolate or decommission unsupported systems.</x:v>
      </x:c>
      <x:c r="N22" s="17" t="str">
        <x:v>End-of-life inventory, upgrade roadmap, compensating controls, isolation</x:v>
      </x:c>
      <x:c r="O22" s="17" t="str">
        <x:v>EOL inventory; upgrade plan; exception approvals; isolation records</x:v>
      </x:c>
      <x:c r="P22" s="17" t="str">
        <x:v>IT Operations</x:v>
      </x:c>
      <x:c r="Q22" s="17" t="str">
        <x:v>Quarterly</x:v>
      </x:c>
      <x:c r="R22" s="17" t="str">
        <x:v>NIS2; Vulnerability management; Legacy systems</x:v>
      </x:c>
      <x:c r="S22" s="17" t="str">
        <x:v>Not Assessed</x:v>
      </x:c>
      <x:c r="T22" s="17" t="str">
        <x:v>https://eur-lex.europa.eu/eli/dir/2022/2555/oj/eng</x:v>
      </x:c>
      <x:c r="U22" s="17" t="str"/>
    </x:row>
    <x:row r="23" ht="72" customHeight="1">
      <x:c r="A23" s="17" t="str">
        <x:v>CYR-022</x:v>
      </x:c>
      <x:c r="B23" s="17" t="str">
        <x:v>NIS2 Art.21 Cybersecurity Risk Management</x:v>
      </x:c>
      <x:c r="C23" s="17" t="str">
        <x:v>Network &amp; Infrastructure Security</x:v>
      </x:c>
      <x:c r="D23" s="17" t="str">
        <x:v>Unpatched critical vulnerabilities</x:v>
      </x:c>
      <x:c r="E23" s="17" t="str">
        <x:v>Unpatched critical vulnerabilities may affect the confidentiality, integrity, availability or resilience of critical services and network and information systems.</x:v>
      </x:c>
      <x:c r="F23" s="17" t="str">
        <x:v>System compromise, ransomware, data breach or service disruption.</x:v>
      </x:c>
      <x:c r="G23" s="17" t="str">
        <x:v>Art.21(2)(e) security in acquisition, development and maintenance, including vulnerability handling; Art.21(2)(i) asset management</x:v>
      </x:c>
      <x:c r="H23" s="17" t="str">
        <x:v>Servers, endpoints, network devices, cloud infrastructure, security tools</x:v>
      </x:c>
      <x:c r="I23" s="17" t="str">
        <x:v>High</x:v>
      </x:c>
      <x:c r="J23" s="17" t="str">
        <x:v>High</x:v>
      </x:c>
      <x:c r="K23" s="17" t="str">
        <x:v>Critical</x:v>
      </x:c>
      <x:c r="L23" s="17" t="str">
        <x:v>Mitigate</x:v>
      </x:c>
      <x:c r="M23" s="17" t="str">
        <x:v>Implement vulnerability scanning and SLA-based patch management.</x:v>
      </x:c>
      <x:c r="N23" s="17" t="str">
        <x:v>Vulnerability scanning, patch SLAs, emergency patch process, remediation tracking</x:v>
      </x:c>
      <x:c r="O23" s="17" t="str">
        <x:v>Vulnerability reports; patch records; remediation tickets; exception approvals</x:v>
      </x:c>
      <x:c r="P23" s="17" t="str">
        <x:v>IT Operations / Security</x:v>
      </x:c>
      <x:c r="Q23" s="17" t="str">
        <x:v>Quarterly</x:v>
      </x:c>
      <x:c r="R23" s="17" t="str">
        <x:v>NIS2; Patch management; Vulnerability handling</x:v>
      </x:c>
      <x:c r="S23" s="17" t="str">
        <x:v>Not Assessed</x:v>
      </x:c>
      <x:c r="T23" s="17" t="str">
        <x:v>https://eur-lex.europa.eu/eli/dir/2022/2555/oj/eng</x:v>
      </x:c>
      <x:c r="U23" s="17" t="str"/>
    </x:row>
    <x:row r="24" ht="72" customHeight="1">
      <x:c r="A24" s="17" t="str">
        <x:v>CYR-023</x:v>
      </x:c>
      <x:c r="B24" s="17" t="str">
        <x:v>NIS2 Art.21 Cybersecurity Risk Management</x:v>
      </x:c>
      <x:c r="C24" s="17" t="str">
        <x:v>Network &amp; Infrastructure Security</x:v>
      </x:c>
      <x:c r="D24" s="17" t="str">
        <x:v>Poor network segmentation</x:v>
      </x:c>
      <x:c r="E24" s="17" t="str">
        <x:v>Poor network segmentation may affect the confidentiality, integrity, availability or resilience of critical services and network and information systems.</x:v>
      </x:c>
      <x:c r="F24" s="17" t="str">
        <x:v>Rapid spread of attacks across systems and business services.</x:v>
      </x:c>
      <x:c r="G24" s="17" t="str">
        <x:v>Art.21(2)(e) secure maintenance; Art.21(2)(i) asset management; Art.21(2)(j) secured communications</x:v>
      </x:c>
      <x:c r="H24" s="17" t="str">
        <x:v>Networks, VLANs, firewalls, critical systems, OT/IT boundary</x:v>
      </x:c>
      <x:c r="I24" s="17" t="str">
        <x:v>Medium</x:v>
      </x:c>
      <x:c r="J24" s="17" t="str">
        <x:v>High</x:v>
      </x:c>
      <x:c r="K24" s="17" t="str">
        <x:v>Critical</x:v>
      </x:c>
      <x:c r="L24" s="17" t="str">
        <x:v>Mitigate</x:v>
      </x:c>
      <x:c r="M24" s="17" t="str">
        <x:v>Segment critical networks and restrict lateral movement.</x:v>
      </x:c>
      <x:c r="N24" s="17" t="str">
        <x:v>Network segmentation, firewall zones, microsegmentation, network access controls</x:v>
      </x:c>
      <x:c r="O24" s="17" t="str">
        <x:v>Network diagrams; firewall rules; segmentation test results</x:v>
      </x:c>
      <x:c r="P24" s="17" t="str">
        <x:v>Network Security</x:v>
      </x:c>
      <x:c r="Q24" s="17" t="str">
        <x:v>Quarterly</x:v>
      </x:c>
      <x:c r="R24" s="17" t="str">
        <x:v>NIS2; Network segmentation; Lateral movement</x:v>
      </x:c>
      <x:c r="S24" s="17" t="str">
        <x:v>Not Assessed</x:v>
      </x:c>
      <x:c r="T24" s="17" t="str">
        <x:v>https://eur-lex.europa.eu/eli/dir/2022/2555/oj/eng</x:v>
      </x:c>
      <x:c r="U24" s="17" t="str"/>
    </x:row>
    <x:row r="25" ht="72" customHeight="1">
      <x:c r="A25" s="17" t="str">
        <x:v>CYR-024</x:v>
      </x:c>
      <x:c r="B25" s="17" t="str">
        <x:v>NIS2 Art.21 Cybersecurity Risk Management</x:v>
      </x:c>
      <x:c r="C25" s="17" t="str">
        <x:v>Network &amp; Infrastructure Security</x:v>
      </x:c>
      <x:c r="D25" s="17" t="str">
        <x:v>Internet-exposed services are not controlled</x:v>
      </x:c>
      <x:c r="E25" s="17" t="str">
        <x:v>Internet-exposed services are not controlled may affect the confidentiality, integrity, availability or resilience of critical services and network and information systems.</x:v>
      </x:c>
      <x:c r="F25" s="17" t="str">
        <x:v>Increased attack surface and exploitation of exposed systems.</x:v>
      </x:c>
      <x:c r="G25" s="17" t="str">
        <x:v>Art.21(2)(e) security in acquisition, development and maintenance, including vulnerability handling; Art.21(2)(i) asset management</x:v>
      </x:c>
      <x:c r="H25" s="17" t="str">
        <x:v>Public IPs, web apps, APIs, VPN, remote admin interfaces</x:v>
      </x:c>
      <x:c r="I25" s="17" t="str">
        <x:v>Medium</x:v>
      </x:c>
      <x:c r="J25" s="17" t="str">
        <x:v>High</x:v>
      </x:c>
      <x:c r="K25" s="17" t="str">
        <x:v>High</x:v>
      </x:c>
      <x:c r="L25" s="17" t="str">
        <x:v>Mitigate</x:v>
      </x:c>
      <x:c r="M25" s="17" t="str">
        <x:v>Maintain external attack-surface management and approval for exposed services.</x:v>
      </x:c>
      <x:c r="N25" s="17" t="str">
        <x:v>External asset inventory, exposure scans, change approvals, hardening</x:v>
      </x:c>
      <x:c r="O25" s="17" t="str">
        <x:v>External scan reports; exposed service inventory; approval records</x:v>
      </x:c>
      <x:c r="P25" s="17" t="str">
        <x:v>Security Operations / Network Security</x:v>
      </x:c>
      <x:c r="Q25" s="17" t="str">
        <x:v>Quarterly</x:v>
      </x:c>
      <x:c r="R25" s="17" t="str">
        <x:v>NIS2; Attack surface; Exposure management</x:v>
      </x:c>
      <x:c r="S25" s="17" t="str">
        <x:v>Not Assessed</x:v>
      </x:c>
      <x:c r="T25" s="17" t="str">
        <x:v>https://eur-lex.europa.eu/eli/dir/2022/2555/oj/eng</x:v>
      </x:c>
      <x:c r="U25" s="17" t="str"/>
    </x:row>
    <x:row r="26" ht="72" customHeight="1">
      <x:c r="A26" s="17" t="str">
        <x:v>CYR-025</x:v>
      </x:c>
      <x:c r="B26" s="17" t="str">
        <x:v>NIS2 Art.21 Cybersecurity Risk Management</x:v>
      </x:c>
      <x:c r="C26" s="17" t="str">
        <x:v>Network &amp; Infrastructure Security</x:v>
      </x:c>
      <x:c r="D26" s="17" t="str">
        <x:v>Misconfigured firewalls or security groups</x:v>
      </x:c>
      <x:c r="E26" s="17" t="str">
        <x:v>Misconfigured firewalls or security groups may affect the confidentiality, integrity, availability or resilience of critical services and network and information systems.</x:v>
      </x:c>
      <x:c r="F26" s="17" t="str">
        <x:v>Unauthorized network access, data exposure or service compromise.</x:v>
      </x:c>
      <x:c r="G26" s="17" t="str">
        <x:v>Art.21(2)(e) security in acquisition, development and maintenance, including vulnerability handling; Art.21(2)(i) asset management</x:v>
      </x:c>
      <x:c r="H26" s="17" t="str">
        <x:v>Firewalls, routers, cloud security groups, network ACLs</x:v>
      </x:c>
      <x:c r="I26" s="17" t="str">
        <x:v>Medium</x:v>
      </x:c>
      <x:c r="J26" s="17" t="str">
        <x:v>High</x:v>
      </x:c>
      <x:c r="K26" s="17" t="str">
        <x:v>High</x:v>
      </x:c>
      <x:c r="L26" s="17" t="str">
        <x:v>Mitigate</x:v>
      </x:c>
      <x:c r="M26" s="17" t="str">
        <x:v>Review and approve firewall and cloud security group rules.</x:v>
      </x:c>
      <x:c r="N26" s="17" t="str">
        <x:v>Firewall rule review, change control, least-access rules, rule recertification</x:v>
      </x:c>
      <x:c r="O26" s="17" t="str">
        <x:v>Firewall rulebase review; change tickets; approval logs</x:v>
      </x:c>
      <x:c r="P26" s="17" t="str">
        <x:v>Network Security</x:v>
      </x:c>
      <x:c r="Q26" s="17" t="str">
        <x:v>Quarterly</x:v>
      </x:c>
      <x:c r="R26" s="17" t="str">
        <x:v>NIS2; Firewall; Network access</x:v>
      </x:c>
      <x:c r="S26" s="17" t="str">
        <x:v>Not Assessed</x:v>
      </x:c>
      <x:c r="T26" s="17" t="str">
        <x:v>https://eur-lex.europa.eu/eli/dir/2022/2555/oj/eng</x:v>
      </x:c>
      <x:c r="U26" s="17" t="str"/>
    </x:row>
    <x:row r="27" ht="72" customHeight="1">
      <x:c r="A27" s="17" t="str">
        <x:v>CYR-026</x:v>
      </x:c>
      <x:c r="B27" s="17" t="str">
        <x:v>NIS2 Art.21 Cybersecurity Risk Management</x:v>
      </x:c>
      <x:c r="C27" s="17" t="str">
        <x:v>Network &amp; Infrastructure Security</x:v>
      </x:c>
      <x:c r="D27" s="17" t="str">
        <x:v>Insecure wireless networks</x:v>
      </x:c>
      <x:c r="E27" s="17" t="str">
        <x:v>Insecure wireless networks may affect the confidentiality, integrity, availability or resilience of critical services and network and information systems.</x:v>
      </x:c>
      <x:c r="F27" s="17" t="str">
        <x:v>Unauthorized access to internal resources or interception of traffic.</x:v>
      </x:c>
      <x:c r="G27" s="17" t="str">
        <x:v>Art.21(2)(j) secured communications; Art.21(2)(i) access control</x:v>
      </x:c>
      <x:c r="H27" s="17" t="str">
        <x:v>Wireless networks, guest Wi-Fi, employee endpoints</x:v>
      </x:c>
      <x:c r="I27" s="17" t="str">
        <x:v>Medium</x:v>
      </x:c>
      <x:c r="J27" s="17" t="str">
        <x:v>High</x:v>
      </x:c>
      <x:c r="K27" s="17" t="str">
        <x:v>Medium</x:v>
      </x:c>
      <x:c r="L27" s="17" t="str">
        <x:v>Mitigate</x:v>
      </x:c>
      <x:c r="M27" s="17" t="str">
        <x:v>Secure Wi-Fi using strong authentication, encryption and guest segregation.</x:v>
      </x:c>
      <x:c r="N27" s="17" t="str">
        <x:v>WPA3/enterprise authentication, guest isolation, wireless monitoring</x:v>
      </x:c>
      <x:c r="O27" s="17" t="str">
        <x:v>Wireless configuration; network diagrams; access logs</x:v>
      </x:c>
      <x:c r="P27" s="17" t="str">
        <x:v>Network Security</x:v>
      </x:c>
      <x:c r="Q27" s="17" t="str">
        <x:v>Quarterly</x:v>
      </x:c>
      <x:c r="R27" s="17" t="str">
        <x:v>NIS2; Wireless; Secure communications</x:v>
      </x:c>
      <x:c r="S27" s="17" t="str">
        <x:v>Not Assessed</x:v>
      </x:c>
      <x:c r="T27" s="17" t="str">
        <x:v>https://eur-lex.europa.eu/eli/dir/2022/2555/oj/eng</x:v>
      </x:c>
      <x:c r="U27" s="17" t="str"/>
    </x:row>
    <x:row r="28" ht="72" customHeight="1">
      <x:c r="A28" s="17" t="str">
        <x:v>CYR-027</x:v>
      </x:c>
      <x:c r="B28" s="17" t="str">
        <x:v>NIS2 Art.21 Cybersecurity Risk Management</x:v>
      </x:c>
      <x:c r="C28" s="17" t="str">
        <x:v>Network &amp; Infrastructure Security</x:v>
      </x:c>
      <x:c r="D28" s="17" t="str">
        <x:v>Lack of endpoint protection</x:v>
      </x:c>
      <x:c r="E28" s="17" t="str">
        <x:v>Lack of endpoint protection may affect the confidentiality, integrity, availability or resilience of critical services and network and information systems.</x:v>
      </x:c>
      <x:c r="F28" s="17" t="str">
        <x:v>Malware infection, data theft and poor visibility into endpoint compromise.</x:v>
      </x:c>
      <x:c r="G28" s="17" t="str">
        <x:v>Art.21(2)(e) security in acquisition, development and maintenance, including vulnerability handling; Art.21(2)(i) asset management</x:v>
      </x:c>
      <x:c r="H28" s="17" t="str">
        <x:v>Workstations, laptops, servers, mobile devices</x:v>
      </x:c>
      <x:c r="I28" s="17" t="str">
        <x:v>Medium</x:v>
      </x:c>
      <x:c r="J28" s="17" t="str">
        <x:v>High</x:v>
      </x:c>
      <x:c r="K28" s="17" t="str">
        <x:v>Critical</x:v>
      </x:c>
      <x:c r="L28" s="17" t="str">
        <x:v>Mitigate</x:v>
      </x:c>
      <x:c r="M28" s="17" t="str">
        <x:v>Deploy and monitor endpoint detection and response controls.</x:v>
      </x:c>
      <x:c r="N28" s="17" t="str">
        <x:v>EDR/anti-malware, tamper protection, detection policies, endpoint isolation</x:v>
      </x:c>
      <x:c r="O28" s="17" t="str">
        <x:v>EDR coverage reports; alert logs; endpoint compliance dashboards</x:v>
      </x:c>
      <x:c r="P28" s="17" t="str">
        <x:v>SOC Manager / IT Security</x:v>
      </x:c>
      <x:c r="Q28" s="17" t="str">
        <x:v>Quarterly</x:v>
      </x:c>
      <x:c r="R28" s="17" t="str">
        <x:v>NIS2; Endpoint security; Malware</x:v>
      </x:c>
      <x:c r="S28" s="17" t="str">
        <x:v>Not Assessed</x:v>
      </x:c>
      <x:c r="T28" s="17" t="str">
        <x:v>https://eur-lex.europa.eu/eli/dir/2022/2555/oj/eng</x:v>
      </x:c>
      <x:c r="U28" s="17" t="str"/>
    </x:row>
    <x:row r="29" ht="72" customHeight="1">
      <x:c r="A29" s="17" t="str">
        <x:v>CYR-028</x:v>
      </x:c>
      <x:c r="B29" s="17" t="str">
        <x:v>NIS2 Art.21 Cybersecurity Risk Management</x:v>
      </x:c>
      <x:c r="C29" s="17" t="str">
        <x:v>Network &amp; Infrastructure Security</x:v>
      </x:c>
      <x:c r="D29" s="17" t="str">
        <x:v>Weak server hardening</x:v>
      </x:c>
      <x:c r="E29" s="17" t="str">
        <x:v>Weak server hardening may affect the confidentiality, integrity, availability or resilience of critical services and network and information systems.</x:v>
      </x:c>
      <x:c r="F29" s="17" t="str">
        <x:v>Compromise of critical systems through unnecessary services or insecure configurations.</x:v>
      </x:c>
      <x:c r="G29" s="17" t="str">
        <x:v>Art.21(2)(e) security in acquisition, development and maintenance, including vulnerability handling; Art.21(2)(i) asset management</x:v>
      </x:c>
      <x:c r="H29" s="17" t="str">
        <x:v>Servers, databases, network appliances, cloud workloads</x:v>
      </x:c>
      <x:c r="I29" s="17" t="str">
        <x:v>Medium</x:v>
      </x:c>
      <x:c r="J29" s="17" t="str">
        <x:v>High</x:v>
      </x:c>
      <x:c r="K29" s="17" t="str">
        <x:v>High</x:v>
      </x:c>
      <x:c r="L29" s="17" t="str">
        <x:v>Mitigate</x:v>
      </x:c>
      <x:c r="M29" s="17" t="str">
        <x:v>Apply secure configuration baselines and hardening standards.</x:v>
      </x:c>
      <x:c r="N29" s="17" t="str">
        <x:v>CIS baselines, configuration scanning, hardening checklists, exception tracking</x:v>
      </x:c>
      <x:c r="O29" s="17" t="str">
        <x:v>Hardening standards; scan reports; configuration baselines</x:v>
      </x:c>
      <x:c r="P29" s="17" t="str">
        <x:v>IT Operations</x:v>
      </x:c>
      <x:c r="Q29" s="17" t="str">
        <x:v>Quarterly</x:v>
      </x:c>
      <x:c r="R29" s="17" t="str">
        <x:v>NIS2; Hardening; Secure configuration</x:v>
      </x:c>
      <x:c r="S29" s="17" t="str">
        <x:v>Not Assessed</x:v>
      </x:c>
      <x:c r="T29" s="17" t="str">
        <x:v>https://eur-lex.europa.eu/eli/dir/2022/2555/oj/eng</x:v>
      </x:c>
      <x:c r="U29" s="17" t="str"/>
    </x:row>
    <x:row r="30" ht="72" customHeight="1">
      <x:c r="A30" s="17" t="str">
        <x:v>CYR-029</x:v>
      </x:c>
      <x:c r="B30" s="17" t="str">
        <x:v>NIS2 Art.21 Cybersecurity Risk Management</x:v>
      </x:c>
      <x:c r="C30" s="17" t="str">
        <x:v>Network &amp; Infrastructure Security</x:v>
      </x:c>
      <x:c r="D30" s="17" t="str">
        <x:v>Insecure administrative interfaces</x:v>
      </x:c>
      <x:c r="E30" s="17" t="str">
        <x:v>Insecure administrative interfaces may affect the confidentiality, integrity, availability or resilience of critical services and network and information systems.</x:v>
      </x:c>
      <x:c r="F30" s="17" t="str">
        <x:v>Unauthorized system control through exposed management consoles.</x:v>
      </x:c>
      <x:c r="G30" s="17" t="str">
        <x:v>Art.21(2)(e) security in acquisition, development and maintenance, including vulnerability handling; Art.21(2)(i) asset management</x:v>
      </x:c>
      <x:c r="H30" s="17" t="str">
        <x:v>Admin portals, SSH, RDP, hypervisors, cloud consoles, network management</x:v>
      </x:c>
      <x:c r="I30" s="17" t="str">
        <x:v>Medium</x:v>
      </x:c>
      <x:c r="J30" s="17" t="str">
        <x:v>High</x:v>
      </x:c>
      <x:c r="K30" s="17" t="str">
        <x:v>Critical</x:v>
      </x:c>
      <x:c r="L30" s="17" t="str">
        <x:v>Mitigate</x:v>
      </x:c>
      <x:c r="M30" s="17" t="str">
        <x:v>Restrict administrative interfaces and enforce MFA and network controls.</x:v>
      </x:c>
      <x:c r="N30" s="17" t="str">
        <x:v>Admin interface restrictions, bastion hosts, MFA, IP allowlisting, logging</x:v>
      </x:c>
      <x:c r="O30" s="17" t="str">
        <x:v>Admin interface inventory; access rules; MFA reports; logs</x:v>
      </x:c>
      <x:c r="P30" s="17" t="str">
        <x:v>Network Security / IT Operations</x:v>
      </x:c>
      <x:c r="Q30" s="17" t="str">
        <x:v>Quarterly</x:v>
      </x:c>
      <x:c r="R30" s="17" t="str">
        <x:v>NIS2; Admin interfaces; Remote access</x:v>
      </x:c>
      <x:c r="S30" s="17" t="str">
        <x:v>Not Assessed</x:v>
      </x:c>
      <x:c r="T30" s="17" t="str">
        <x:v>https://eur-lex.europa.eu/eli/dir/2022/2555/oj/eng</x:v>
      </x:c>
      <x:c r="U30" s="17" t="str"/>
    </x:row>
    <x:row r="31" ht="72" customHeight="1">
      <x:c r="A31" s="17" t="str">
        <x:v>CYR-030</x:v>
      </x:c>
      <x:c r="B31" s="17" t="str">
        <x:v>NIS2 Art.21 Cybersecurity Risk Management</x:v>
      </x:c>
      <x:c r="C31" s="17" t="str">
        <x:v>Network &amp; Infrastructure Security</x:v>
      </x:c>
      <x:c r="D31" s="17" t="str">
        <x:v>Lack of logging on critical systems</x:v>
      </x:c>
      <x:c r="E31" s="17" t="str">
        <x:v>Lack of logging on critical systems may affect the confidentiality, integrity, availability or resilience of critical services and network and information systems.</x:v>
      </x:c>
      <x:c r="F31" s="17" t="str">
        <x:v>Incidents remain undetected or cannot be investigated.</x:v>
      </x:c>
      <x:c r="G31" s="17" t="str">
        <x:v>Art.21(2)(b) incident handling; Art.21(2)(f) effectiveness assessment</x:v>
      </x:c>
      <x:c r="H31" s="17" t="str">
        <x:v>Servers, applications, databases, network devices, cloud platforms</x:v>
      </x:c>
      <x:c r="I31" s="17" t="str">
        <x:v>Medium</x:v>
      </x:c>
      <x:c r="J31" s="17" t="str">
        <x:v>High</x:v>
      </x:c>
      <x:c r="K31" s="17" t="str">
        <x:v>High</x:v>
      </x:c>
      <x:c r="L31" s="17" t="str">
        <x:v>Mitigate</x:v>
      </x:c>
      <x:c r="M31" s="17" t="str">
        <x:v>Enable centralized logging for critical systems and security events.</x:v>
      </x:c>
      <x:c r="N31" s="17" t="str">
        <x:v>Centralized logging, log retention, log integrity, SIEM integration</x:v>
      </x:c>
      <x:c r="O31" s="17" t="str">
        <x:v>Logging policy; SIEM data sources; log retention settings; monitoring reports</x:v>
      </x:c>
      <x:c r="P31" s="17" t="str">
        <x:v>SOC Manager</x:v>
      </x:c>
      <x:c r="Q31" s="17" t="str">
        <x:v>Quarterly</x:v>
      </x:c>
      <x:c r="R31" s="17" t="str">
        <x:v>NIS2; Logging; Detection</x:v>
      </x:c>
      <x:c r="S31" s="17" t="str">
        <x:v>Not Assessed</x:v>
      </x:c>
      <x:c r="T31" s="17" t="str">
        <x:v>https://eur-lex.europa.eu/eli/dir/2022/2555/oj/eng</x:v>
      </x:c>
      <x:c r="U31" s="17" t="str"/>
    </x:row>
    <x:row r="32" ht="72" customHeight="1">
      <x:c r="A32" s="17" t="str">
        <x:v>CYR-031</x:v>
      </x:c>
      <x:c r="B32" s="17" t="str">
        <x:v>NIS2 Art.21 Cybersecurity Risk Management</x:v>
      </x:c>
      <x:c r="C32" s="17" t="str">
        <x:v>Incident Management &amp; Detection</x:v>
      </x:c>
      <x:c r="D32" s="17" t="str">
        <x:v>Security events are not monitored</x:v>
      </x:c>
      <x:c r="E32" s="17" t="str">
        <x:v>Security events are not monitored may affect the confidentiality, integrity, availability or resilience of critical services and network and information systems.</x:v>
      </x:c>
      <x:c r="F32" s="17" t="str">
        <x:v>Delayed detection and containment of cyber incidents.</x:v>
      </x:c>
      <x:c r="G32" s="17" t="str">
        <x:v>Art.21(2)(b) incident handling; Art.21(2)(f) effectiveness assessment</x:v>
      </x:c>
      <x:c r="H32" s="17" t="str">
        <x:v>Security events, monitoring platforms, incident response process, critical services</x:v>
      </x:c>
      <x:c r="I32" s="17" t="str">
        <x:v>Medium</x:v>
      </x:c>
      <x:c r="J32" s="17" t="str">
        <x:v>High</x:v>
      </x:c>
      <x:c r="K32" s="17" t="str">
        <x:v>Critical</x:v>
      </x:c>
      <x:c r="L32" s="17" t="str">
        <x:v>Mitigate</x:v>
      </x:c>
      <x:c r="M32" s="17" t="str">
        <x:v>Implement SIEM/SOC or equivalent monitored logging and alerting.</x:v>
      </x:c>
      <x:c r="N32" s="17" t="str">
        <x:v>SIEM/SOC monitoring, alert rules, escalation playbooks, log source coverage</x:v>
      </x:c>
      <x:c r="O32" s="17" t="str">
        <x:v>SIEM reports; alert rules; SOC procedures; escalation records</x:v>
      </x:c>
      <x:c r="P32" s="17" t="str">
        <x:v>SOC Manager</x:v>
      </x:c>
      <x:c r="Q32" s="17" t="str">
        <x:v>Quarterly</x:v>
      </x:c>
      <x:c r="R32" s="17" t="str">
        <x:v>NIS2; Monitoring; Detection</x:v>
      </x:c>
      <x:c r="S32" s="17" t="str">
        <x:v>Not Assessed</x:v>
      </x:c>
      <x:c r="T32" s="17" t="str">
        <x:v>https://eur-lex.europa.eu/eli/dir/2022/2555/oj/eng</x:v>
      </x:c>
      <x:c r="U32" s="17" t="str"/>
    </x:row>
    <x:row r="33" ht="72" customHeight="1">
      <x:c r="A33" s="17" t="str">
        <x:v>CYR-032</x:v>
      </x:c>
      <x:c r="B33" s="17" t="str">
        <x:v>NIS2 Art.21 Cybersecurity Risk Management</x:v>
      </x:c>
      <x:c r="C33" s="17" t="str">
        <x:v>Incident Management &amp; Detection</x:v>
      </x:c>
      <x:c r="D33" s="17" t="str">
        <x:v>No incident response plan</x:v>
      </x:c>
      <x:c r="E33" s="17" t="str">
        <x:v>No incident response plan may affect the confidentiality, integrity, availability or resilience of critical services and network and information systems.</x:v>
      </x:c>
      <x:c r="F33" s="17" t="str">
        <x:v>Chaotic or delayed response during cyber incidents.</x:v>
      </x:c>
      <x:c r="G33" s="17" t="str">
        <x:v>Art.21(2)(b) incident handling; Art.21(2)(f) effectiveness assessment</x:v>
      </x:c>
      <x:c r="H33" s="17" t="str">
        <x:v>Incident response team, critical systems, communication channels</x:v>
      </x:c>
      <x:c r="I33" s="17" t="str">
        <x:v>Medium</x:v>
      </x:c>
      <x:c r="J33" s="17" t="str">
        <x:v>High</x:v>
      </x:c>
      <x:c r="K33" s="17" t="str">
        <x:v>Critical</x:v>
      </x:c>
      <x:c r="L33" s="17" t="str">
        <x:v>Mitigate</x:v>
      </x:c>
      <x:c r="M33" s="17" t="str">
        <x:v>Create, approve and test a cybersecurity incident response plan.</x:v>
      </x:c>
      <x:c r="N33" s="17" t="str">
        <x:v>IR plan, response playbooks, severity model, crisis communications</x:v>
      </x:c>
      <x:c r="O33" s="17" t="str">
        <x:v>Incident response plan; tabletop reports; call trees; playbooks</x:v>
      </x:c>
      <x:c r="P33" s="17" t="str">
        <x:v>CISO / Incident Manager</x:v>
      </x:c>
      <x:c r="Q33" s="17" t="str">
        <x:v>Quarterly</x:v>
      </x:c>
      <x:c r="R33" s="17" t="str">
        <x:v>NIS2; Incident response; Playbooks</x:v>
      </x:c>
      <x:c r="S33" s="17" t="str">
        <x:v>Not Assessed</x:v>
      </x:c>
      <x:c r="T33" s="17" t="str">
        <x:v>https://eur-lex.europa.eu/eli/dir/2022/2555/oj/eng</x:v>
      </x:c>
      <x:c r="U33" s="17" t="str"/>
    </x:row>
    <x:row r="34" ht="72" customHeight="1">
      <x:c r="A34" s="17" t="str">
        <x:v>CYR-033</x:v>
      </x:c>
      <x:c r="B34" s="17" t="str">
        <x:v>NIS2 Art.21 Cybersecurity Risk Management</x:v>
      </x:c>
      <x:c r="C34" s="17" t="str">
        <x:v>Incident Management &amp; Detection</x:v>
      </x:c>
      <x:c r="D34" s="17" t="str">
        <x:v>Incident roles and responsibilities are unclear</x:v>
      </x:c>
      <x:c r="E34" s="17" t="str">
        <x:v>Incident roles and responsibilities are unclear may affect the confidentiality, integrity, availability or resilience of critical services and network and information systems.</x:v>
      </x:c>
      <x:c r="F34" s="17" t="str">
        <x:v>Delayed containment, investigation and recovery.</x:v>
      </x:c>
      <x:c r="G34" s="17" t="str">
        <x:v>Art.21(2)(b) incident handling; Art.21(2)(f) effectiveness assessment</x:v>
      </x:c>
      <x:c r="H34" s="17" t="str">
        <x:v>Incident response team, management, legal, communications, IT operations</x:v>
      </x:c>
      <x:c r="I34" s="17" t="str">
        <x:v>Medium</x:v>
      </x:c>
      <x:c r="J34" s="17" t="str">
        <x:v>High</x:v>
      </x:c>
      <x:c r="K34" s="17" t="str">
        <x:v>High</x:v>
      </x:c>
      <x:c r="L34" s="17" t="str">
        <x:v>Mitigate</x:v>
      </x:c>
      <x:c r="M34" s="17" t="str">
        <x:v>Define incident response roles, escalation paths and responsibilities.</x:v>
      </x:c>
      <x:c r="N34" s="17" t="str">
        <x:v>IR RACI, escalation matrix, on-call rota, management notification process</x:v>
      </x:c>
      <x:c r="O34" s="17" t="str">
        <x:v>RACI; escalation matrix; on-call schedule; training records</x:v>
      </x:c>
      <x:c r="P34" s="17" t="str">
        <x:v>Incident Manager</x:v>
      </x:c>
      <x:c r="Q34" s="17" t="str">
        <x:v>Quarterly</x:v>
      </x:c>
      <x:c r="R34" s="17" t="str">
        <x:v>NIS2; Incident response; Roles</x:v>
      </x:c>
      <x:c r="S34" s="17" t="str">
        <x:v>Not Assessed</x:v>
      </x:c>
      <x:c r="T34" s="17" t="str">
        <x:v>https://eur-lex.europa.eu/eli/dir/2022/2555/oj/eng</x:v>
      </x:c>
      <x:c r="U34" s="17" t="str"/>
    </x:row>
    <x:row r="35" ht="72" customHeight="1">
      <x:c r="A35" s="17" t="str">
        <x:v>CYR-034</x:v>
      </x:c>
      <x:c r="B35" s="17" t="str">
        <x:v>NIS2 Art.21 Cybersecurity Risk Management</x:v>
      </x:c>
      <x:c r="C35" s="17" t="str">
        <x:v>Incident Management &amp; Detection</x:v>
      </x:c>
      <x:c r="D35" s="17" t="str">
        <x:v>Incidents are not classified by severity</x:v>
      </x:c>
      <x:c r="E35" s="17" t="str">
        <x:v>Incidents are not classified by severity may affect the confidentiality, integrity, availability or resilience of critical services and network and information systems.</x:v>
      </x:c>
      <x:c r="F35" s="17" t="str">
        <x:v>Incorrect response prioritization and regulatory reporting decisions.</x:v>
      </x:c>
      <x:c r="G35" s="17" t="str">
        <x:v>Art.21(2)(b) incident handling; NIS2 incident notification obligations</x:v>
      </x:c>
      <x:c r="H35" s="17" t="str">
        <x:v>Incident records, service impact, user impact, regulatory reporting workflow</x:v>
      </x:c>
      <x:c r="I35" s="17" t="str">
        <x:v>Medium</x:v>
      </x:c>
      <x:c r="J35" s="17" t="str">
        <x:v>High</x:v>
      </x:c>
      <x:c r="K35" s="17" t="str">
        <x:v>High</x:v>
      </x:c>
      <x:c r="L35" s="17" t="str">
        <x:v>Mitigate</x:v>
      </x:c>
      <x:c r="M35" s="17" t="str">
        <x:v>Define incident classification criteria including impact, severity and reporting triggers.</x:v>
      </x:c>
      <x:c r="N35" s="17" t="str">
        <x:v>Severity matrix, incident classification workflow, reporting trigger checklist</x:v>
      </x:c>
      <x:c r="O35" s="17" t="str">
        <x:v>Incident classification criteria; sample incident records; reporting decisions</x:v>
      </x:c>
      <x:c r="P35" s="17" t="str">
        <x:v>Incident Manager / Compliance Manager</x:v>
      </x:c>
      <x:c r="Q35" s="17" t="str">
        <x:v>Quarterly</x:v>
      </x:c>
      <x:c r="R35" s="17" t="str">
        <x:v>NIS2; Incident classification; Reporting</x:v>
      </x:c>
      <x:c r="S35" s="17" t="str">
        <x:v>Not Assessed</x:v>
      </x:c>
      <x:c r="T35" s="17" t="str">
        <x:v>https://eur-lex.europa.eu/eli/dir/2022/2555/oj/eng</x:v>
      </x:c>
      <x:c r="U35" s="17" t="str"/>
    </x:row>
    <x:row r="36" ht="72" customHeight="1">
      <x:c r="A36" s="17" t="str">
        <x:v>CYR-035</x:v>
      </x:c>
      <x:c r="B36" s="17" t="str">
        <x:v>NIS2 Art.21 Cybersecurity Risk Management</x:v>
      </x:c>
      <x:c r="C36" s="17" t="str">
        <x:v>Incident Management &amp; Detection</x:v>
      </x:c>
      <x:c r="D36" s="17" t="str">
        <x:v>NIS2-reportable incidents are not escalated on time</x:v>
      </x:c>
      <x:c r="E36" s="17" t="str">
        <x:v>NIS2-reportable incidents are not escalated on time may affect the confidentiality, integrity, availability or resilience of critical services and network and information systems.</x:v>
      </x:c>
      <x:c r="F36" s="17" t="str">
        <x:v>Regulatory breach, sanctions and loss of supervisory confidence.</x:v>
      </x:c>
      <x:c r="G36" s="17" t="str">
        <x:v>Art.23 incident reporting obligations; Art.21(2)(b) incident handling</x:v>
      </x:c>
      <x:c r="H36" s="17" t="str">
        <x:v>Incident process, legal/compliance, competent authority communication</x:v>
      </x:c>
      <x:c r="I36" s="17" t="str">
        <x:v>Medium</x:v>
      </x:c>
      <x:c r="J36" s="17" t="str">
        <x:v>High</x:v>
      </x:c>
      <x:c r="K36" s="17" t="str">
        <x:v>Critical</x:v>
      </x:c>
      <x:c r="L36" s="17" t="str">
        <x:v>Mitigate</x:v>
      </x:c>
      <x:c r="M36" s="17" t="str">
        <x:v>Implement regulatory incident-reporting workflow and escalation deadlines.</x:v>
      </x:c>
      <x:c r="N36" s="17" t="str">
        <x:v>Regulatory reporting procedure, notification timeline tracker, legal review workflow</x:v>
      </x:c>
      <x:c r="O36" s="17" t="str">
        <x:v>Reporting procedure; incident notification logs; authority submissions; decision records</x:v>
      </x:c>
      <x:c r="P36" s="17" t="str">
        <x:v>Compliance Manager / CISO</x:v>
      </x:c>
      <x:c r="Q36" s="17" t="str">
        <x:v>Quarterly</x:v>
      </x:c>
      <x:c r="R36" s="17" t="str">
        <x:v>NIS2; Regulatory reporting; Incident escalation</x:v>
      </x:c>
      <x:c r="S36" s="17" t="str">
        <x:v>Not Assessed</x:v>
      </x:c>
      <x:c r="T36" s="17" t="str">
        <x:v>https://eur-lex.europa.eu/eli/dir/2022/2555/oj/eng</x:v>
      </x:c>
      <x:c r="U36" s="17" t="str"/>
    </x:row>
    <x:row r="37" ht="72" customHeight="1">
      <x:c r="A37" s="17" t="str">
        <x:v>CYR-036</x:v>
      </x:c>
      <x:c r="B37" s="17" t="str">
        <x:v>NIS2 Art.21 Cybersecurity Risk Management</x:v>
      </x:c>
      <x:c r="C37" s="17" t="str">
        <x:v>Incident Management &amp; Detection</x:v>
      </x:c>
      <x:c r="D37" s="17" t="str">
        <x:v>No forensic readiness</x:v>
      </x:c>
      <x:c r="E37" s="17" t="str">
        <x:v>No forensic readiness may affect the confidentiality, integrity, availability or resilience of critical services and network and information systems.</x:v>
      </x:c>
      <x:c r="F37" s="17" t="str">
        <x:v>Loss of evidence and inability to investigate incidents properly.</x:v>
      </x:c>
      <x:c r="G37" s="17" t="str">
        <x:v>Art.21(2)(b) incident handling; Art.21(2)(f) effectiveness assessment</x:v>
      </x:c>
      <x:c r="H37" s="17" t="str">
        <x:v>Logs, endpoints, servers, cloud systems, forensic evidence</x:v>
      </x:c>
      <x:c r="I37" s="17" t="str">
        <x:v>Medium</x:v>
      </x:c>
      <x:c r="J37" s="17" t="str">
        <x:v>High</x:v>
      </x:c>
      <x:c r="K37" s="17" t="str">
        <x:v>High</x:v>
      </x:c>
      <x:c r="L37" s="17" t="str">
        <x:v>Mitigate</x:v>
      </x:c>
      <x:c r="M37" s="17" t="str">
        <x:v>Preserve relevant logs, evidence and chain of custody.</x:v>
      </x:c>
      <x:c r="N37" s="17" t="str">
        <x:v>Forensic readiness plan, evidence retention, chain-of-custody process</x:v>
      </x:c>
      <x:c r="O37" s="17" t="str">
        <x:v>Forensic procedure; chain-of-custody records; log retention settings</x:v>
      </x:c>
      <x:c r="P37" s="17" t="str">
        <x:v>SOC Manager / Legal</x:v>
      </x:c>
      <x:c r="Q37" s="17" t="str">
        <x:v>Quarterly</x:v>
      </x:c>
      <x:c r="R37" s="17" t="str">
        <x:v>NIS2; Forensics; Evidence</x:v>
      </x:c>
      <x:c r="S37" s="17" t="str">
        <x:v>Not Assessed</x:v>
      </x:c>
      <x:c r="T37" s="17" t="str">
        <x:v>https://eur-lex.europa.eu/eli/dir/2022/2555/oj/eng</x:v>
      </x:c>
      <x:c r="U37" s="17" t="str"/>
    </x:row>
    <x:row r="38" ht="72" customHeight="1">
      <x:c r="A38" s="17" t="str">
        <x:v>CYR-037</x:v>
      </x:c>
      <x:c r="B38" s="17" t="str">
        <x:v>NIS2 Art.21 Cybersecurity Risk Management</x:v>
      </x:c>
      <x:c r="C38" s="17" t="str">
        <x:v>Incident Management &amp; Detection</x:v>
      </x:c>
      <x:c r="D38" s="17" t="str">
        <x:v>No lessons-learned process after incidents</x:v>
      </x:c>
      <x:c r="E38" s="17" t="str">
        <x:v>No lessons-learned process after incidents may affect the confidentiality, integrity, availability or resilience of critical services and network and information systems.</x:v>
      </x:c>
      <x:c r="F38" s="17" t="str">
        <x:v>Repeated incidents and failure to improve controls.</x:v>
      </x:c>
      <x:c r="G38" s="17" t="str">
        <x:v>Art.21(2)(b) incident handling; Art.21(2)(f) effectiveness assessment</x:v>
      </x:c>
      <x:c r="H38" s="17" t="str">
        <x:v>Incident process, controls, remediation actions</x:v>
      </x:c>
      <x:c r="I38" s="17" t="str">
        <x:v>Medium</x:v>
      </x:c>
      <x:c r="J38" s="17" t="str">
        <x:v>High</x:v>
      </x:c>
      <x:c r="K38" s="17" t="str">
        <x:v>Medium</x:v>
      </x:c>
      <x:c r="L38" s="17" t="str">
        <x:v>Mitigate</x:v>
      </x:c>
      <x:c r="M38" s="17" t="str">
        <x:v>Conduct post-incident reviews and track corrective actions.</x:v>
      </x:c>
      <x:c r="N38" s="17" t="str">
        <x:v>Post-incident review, root-cause analysis, corrective action tracking</x:v>
      </x:c>
      <x:c r="O38" s="17" t="str">
        <x:v>PIR reports; RCA records; action tracker; closure evidence</x:v>
      </x:c>
      <x:c r="P38" s="17" t="str">
        <x:v>Incident Manager</x:v>
      </x:c>
      <x:c r="Q38" s="17" t="str">
        <x:v>Quarterly</x:v>
      </x:c>
      <x:c r="R38" s="17" t="str">
        <x:v>NIS2; Lessons learned; Continuous improvement</x:v>
      </x:c>
      <x:c r="S38" s="17" t="str">
        <x:v>Not Assessed</x:v>
      </x:c>
      <x:c r="T38" s="17" t="str">
        <x:v>https://eur-lex.europa.eu/eli/dir/2022/2555/oj/eng</x:v>
      </x:c>
      <x:c r="U38" s="17" t="str"/>
    </x:row>
    <x:row r="39" ht="72" customHeight="1">
      <x:c r="A39" s="17" t="str">
        <x:v>CYR-038</x:v>
      </x:c>
      <x:c r="B39" s="17" t="str">
        <x:v>NIS2 Art.21 Cybersecurity Risk Management</x:v>
      </x:c>
      <x:c r="C39" s="17" t="str">
        <x:v>Incident Management &amp; Detection</x:v>
      </x:c>
      <x:c r="D39" s="17" t="str">
        <x:v>Alert fatigue or unmanaged alerts</x:v>
      </x:c>
      <x:c r="E39" s="17" t="str">
        <x:v>Alert fatigue or unmanaged alerts may affect the confidentiality, integrity, availability or resilience of critical services and network and information systems.</x:v>
      </x:c>
      <x:c r="F39" s="17" t="str">
        <x:v>Critical attacks are missed due to excessive false positives or weak triage.</x:v>
      </x:c>
      <x:c r="G39" s="17" t="str">
        <x:v>Art.21(2)(b) incident handling; Art.21(2)(f) effectiveness assessment</x:v>
      </x:c>
      <x:c r="H39" s="17" t="str">
        <x:v>SIEM, EDR, network alerts, cloud security alerts</x:v>
      </x:c>
      <x:c r="I39" s="17" t="str">
        <x:v>Medium</x:v>
      </x:c>
      <x:c r="J39" s="17" t="str">
        <x:v>High</x:v>
      </x:c>
      <x:c r="K39" s="17" t="str">
        <x:v>High</x:v>
      </x:c>
      <x:c r="L39" s="17" t="str">
        <x:v>Mitigate</x:v>
      </x:c>
      <x:c r="M39" s="17" t="str">
        <x:v>Define alert triage, tuning and escalation processes.</x:v>
      </x:c>
      <x:c r="N39" s="17" t="str">
        <x:v>Alert tuning, severity classification, triage queues, SOC metrics</x:v>
      </x:c>
      <x:c r="O39" s="17" t="str">
        <x:v>Alert metrics; tuning records; escalation logs; false positive analysis</x:v>
      </x:c>
      <x:c r="P39" s="17" t="str">
        <x:v>SOC Manager</x:v>
      </x:c>
      <x:c r="Q39" s="17" t="str">
        <x:v>Quarterly</x:v>
      </x:c>
      <x:c r="R39" s="17" t="str">
        <x:v>NIS2; Alerting; SOC operations</x:v>
      </x:c>
      <x:c r="S39" s="17" t="str">
        <x:v>Not Assessed</x:v>
      </x:c>
      <x:c r="T39" s="17" t="str">
        <x:v>https://eur-lex.europa.eu/eli/dir/2022/2555/oj/eng</x:v>
      </x:c>
      <x:c r="U39" s="17" t="str"/>
    </x:row>
    <x:row r="40" ht="72" customHeight="1">
      <x:c r="A40" s="17" t="str">
        <x:v>CYR-039</x:v>
      </x:c>
      <x:c r="B40" s="17" t="str">
        <x:v>NIS2 Art.21 Cybersecurity Risk Management</x:v>
      </x:c>
      <x:c r="C40" s="17" t="str">
        <x:v>Incident Management &amp; Detection</x:v>
      </x:c>
      <x:c r="D40" s="17" t="str">
        <x:v>Lack of threat intelligence use</x:v>
      </x:c>
      <x:c r="E40" s="17" t="str">
        <x:v>Lack of threat intelligence use may affect the confidentiality, integrity, availability or resilience of critical services and network and information systems.</x:v>
      </x:c>
      <x:c r="F40" s="17" t="str">
        <x:v>Poor awareness of active threats and delayed defensive actions.</x:v>
      </x:c>
      <x:c r="G40" s="17" t="str">
        <x:v>Art.21(2)(a) risk analysis; Art.21(2)(b) incident handling</x:v>
      </x:c>
      <x:c r="H40" s="17" t="str">
        <x:v>Threat intelligence, SIEM, vulnerability management, risk register</x:v>
      </x:c>
      <x:c r="I40" s="17" t="str">
        <x:v>Medium</x:v>
      </x:c>
      <x:c r="J40" s="17" t="str">
        <x:v>High</x:v>
      </x:c>
      <x:c r="K40" s="17" t="str">
        <x:v>Medium</x:v>
      </x:c>
      <x:c r="L40" s="17" t="str">
        <x:v>Mitigate</x:v>
      </x:c>
      <x:c r="M40" s="17" t="str">
        <x:v>Integrate threat intelligence into monitoring, vulnerability prioritization and risk assessment.</x:v>
      </x:c>
      <x:c r="N40" s="17" t="str">
        <x:v>Threat intel feeds, IOC enrichment, threat briefings, risk updates</x:v>
      </x:c>
      <x:c r="O40" s="17" t="str">
        <x:v>Threat bulletins; IOC integration; risk updates; detection rule changes</x:v>
      </x:c>
      <x:c r="P40" s="17" t="str">
        <x:v>SOC Manager / Threat Intel Lead</x:v>
      </x:c>
      <x:c r="Q40" s="17" t="str">
        <x:v>Quarterly</x:v>
      </x:c>
      <x:c r="R40" s="17" t="str">
        <x:v>NIS2; Threat intelligence; Monitoring</x:v>
      </x:c>
      <x:c r="S40" s="17" t="str">
        <x:v>Not Assessed</x:v>
      </x:c>
      <x:c r="T40" s="17" t="str">
        <x:v>https://eur-lex.europa.eu/eli/dir/2022/2555/oj/eng</x:v>
      </x:c>
      <x:c r="U40" s="17" t="str"/>
    </x:row>
    <x:row r="41" ht="72" customHeight="1">
      <x:c r="A41" s="17" t="str">
        <x:v>CYR-040</x:v>
      </x:c>
      <x:c r="B41" s="17" t="str">
        <x:v>NIS2 Art.21 Cybersecurity Risk Management</x:v>
      </x:c>
      <x:c r="C41" s="17" t="str">
        <x:v>Incident Management &amp; Detection</x:v>
      </x:c>
      <x:c r="D41" s="17" t="str">
        <x:v>DDoS attacks disrupt public services</x:v>
      </x:c>
      <x:c r="E41" s="17" t="str">
        <x:v>DDoS attacks disrupt public services may affect the confidentiality, integrity, availability or resilience of critical services and network and information systems.</x:v>
      </x:c>
      <x:c r="F41" s="17" t="str">
        <x:v>Service unavailability, reputational damage and operational disruption.</x:v>
      </x:c>
      <x:c r="G41" s="17" t="str">
        <x:v>Art.21(2)(c) business continuity; Art.21(2)(b) incident handling</x:v>
      </x:c>
      <x:c r="H41" s="17" t="str">
        <x:v>Public websites, APIs, DNS, internet connectivity, customer portals</x:v>
      </x:c>
      <x:c r="I41" s="17" t="str">
        <x:v>Medium</x:v>
      </x:c>
      <x:c r="J41" s="17" t="str">
        <x:v>High</x:v>
      </x:c>
      <x:c r="K41" s="17" t="str">
        <x:v>High</x:v>
      </x:c>
      <x:c r="L41" s="17" t="str">
        <x:v>Mitigate</x:v>
      </x:c>
      <x:c r="M41" s="17" t="str">
        <x:v>Use DDoS protection and resilience planning for internet-facing services.</x:v>
      </x:c>
      <x:c r="N41" s="17" t="str">
        <x:v>DDoS protection, CDN/WAF, runbooks, ISP escalation, traffic monitoring</x:v>
      </x:c>
      <x:c r="O41" s="17" t="str">
        <x:v>DDoS protection contracts; runbooks; test/incident reports; monitoring logs</x:v>
      </x:c>
      <x:c r="P41" s="17" t="str">
        <x:v>Network Security / Service Owner</x:v>
      </x:c>
      <x:c r="Q41" s="17" t="str">
        <x:v>Quarterly</x:v>
      </x:c>
      <x:c r="R41" s="17" t="str">
        <x:v>NIS2; DDoS; Availability</x:v>
      </x:c>
      <x:c r="S41" s="17" t="str">
        <x:v>Not Assessed</x:v>
      </x:c>
      <x:c r="T41" s="17" t="str">
        <x:v>https://eur-lex.europa.eu/eli/dir/2022/2555/oj/eng</x:v>
      </x:c>
      <x:c r="U41" s="17" t="str"/>
    </x:row>
    <x:row r="42" ht="72" customHeight="1">
      <x:c r="A42" s="17" t="str">
        <x:v>CYR-041</x:v>
      </x:c>
      <x:c r="B42" s="17" t="str">
        <x:v>NIS2 Art.21 Cybersecurity Risk Management</x:v>
      </x:c>
      <x:c r="C42" s="17" t="str">
        <x:v>Data Protection &amp; Cryptography</x:v>
      </x:c>
      <x:c r="D42" s="17" t="str">
        <x:v>Sensitive data is not classified</x:v>
      </x:c>
      <x:c r="E42" s="17" t="str">
        <x:v>Sensitive data is not classified may affect the confidentiality, integrity, availability or resilience of critical services and network and information systems.</x:v>
      </x:c>
      <x:c r="F42" s="17" t="str">
        <x:v>Inadequate protection of confidential, personal or critical operational data.</x:v>
      </x:c>
      <x:c r="G42" s="17" t="str">
        <x:v>Art.21(2)(a) risk analysis; Art.21(2)(h) cryptography; Art.21(2)(i) asset management</x:v>
      </x:c>
      <x:c r="H42" s="17" t="str">
        <x:v>Sensitive data, databases, file shares, backups, logs, communication channels</x:v>
      </x:c>
      <x:c r="I42" s="17" t="str">
        <x:v>Medium</x:v>
      </x:c>
      <x:c r="J42" s="17" t="str">
        <x:v>High</x:v>
      </x:c>
      <x:c r="K42" s="17" t="str">
        <x:v>High</x:v>
      </x:c>
      <x:c r="L42" s="17" t="str">
        <x:v>Mitigate</x:v>
      </x:c>
      <x:c r="M42" s="17" t="str">
        <x:v>Establish and apply a data classification scheme.</x:v>
      </x:c>
      <x:c r="N42" s="17" t="str">
        <x:v>Data classification policy, data inventory, labeling, handling rules</x:v>
      </x:c>
      <x:c r="O42" s="17" t="str">
        <x:v>Data classification policy; data inventory; sample labels; handling procedure</x:v>
      </x:c>
      <x:c r="P42" s="17" t="str">
        <x:v>Data Protection Officer / CISO</x:v>
      </x:c>
      <x:c r="Q42" s="17" t="str">
        <x:v>Quarterly</x:v>
      </x:c>
      <x:c r="R42" s="17" t="str">
        <x:v>NIS2; Data classification; Data protection</x:v>
      </x:c>
      <x:c r="S42" s="17" t="str">
        <x:v>Not Assessed</x:v>
      </x:c>
      <x:c r="T42" s="17" t="str">
        <x:v>https://eur-lex.europa.eu/eli/dir/2022/2555/oj/eng</x:v>
      </x:c>
      <x:c r="U42" s="17" t="str"/>
    </x:row>
    <x:row r="43" ht="72" customHeight="1">
      <x:c r="A43" s="17" t="str">
        <x:v>CYR-042</x:v>
      </x:c>
      <x:c r="B43" s="17" t="str">
        <x:v>NIS2 Art.21 Cybersecurity Risk Management</x:v>
      </x:c>
      <x:c r="C43" s="17" t="str">
        <x:v>Data Protection &amp; Cryptography</x:v>
      </x:c>
      <x:c r="D43" s="17" t="str">
        <x:v>Sensitive data is stored without encryption</x:v>
      </x:c>
      <x:c r="E43" s="17" t="str">
        <x:v>Sensitive data is stored without encryption may affect the confidentiality, integrity, availability or resilience of critical services and network and information systems.</x:v>
      </x:c>
      <x:c r="F43" s="17" t="str">
        <x:v>Data exposure after system compromise, theft or unauthorized access.</x:v>
      </x:c>
      <x:c r="G43" s="17" t="str">
        <x:v>Art.21(2)(h) policies and procedures regarding cryptography and encryption; Art.21(2)(j) secured communications</x:v>
      </x:c>
      <x:c r="H43" s="17" t="str">
        <x:v>Databases, storage, endpoints, backups, cloud storage</x:v>
      </x:c>
      <x:c r="I43" s="17" t="str">
        <x:v>Medium</x:v>
      </x:c>
      <x:c r="J43" s="17" t="str">
        <x:v>High</x:v>
      </x:c>
      <x:c r="K43" s="17" t="str">
        <x:v>Critical</x:v>
      </x:c>
      <x:c r="L43" s="17" t="str">
        <x:v>Mitigate</x:v>
      </x:c>
      <x:c r="M43" s="17" t="str">
        <x:v>Encrypt sensitive data at rest using approved cryptographic standards.</x:v>
      </x:c>
      <x:c r="N43" s="17" t="str">
        <x:v>Encryption at rest, key management, database encryption, disk encryption</x:v>
      </x:c>
      <x:c r="O43" s="17" t="str">
        <x:v>Encryption configuration; key management records; storage policy</x:v>
      </x:c>
      <x:c r="P43" s="17" t="str">
        <x:v>IT Security / Data Owner</x:v>
      </x:c>
      <x:c r="Q43" s="17" t="str">
        <x:v>Quarterly</x:v>
      </x:c>
      <x:c r="R43" s="17" t="str">
        <x:v>NIS2; Encryption; Data at rest</x:v>
      </x:c>
      <x:c r="S43" s="17" t="str">
        <x:v>Not Assessed</x:v>
      </x:c>
      <x:c r="T43" s="17" t="str">
        <x:v>https://eur-lex.europa.eu/eli/dir/2022/2555/oj/eng</x:v>
      </x:c>
      <x:c r="U43" s="17" t="str"/>
    </x:row>
    <x:row r="44" ht="72" customHeight="1">
      <x:c r="A44" s="17" t="str">
        <x:v>CYR-043</x:v>
      </x:c>
      <x:c r="B44" s="17" t="str">
        <x:v>NIS2 Art.21 Cybersecurity Risk Management</x:v>
      </x:c>
      <x:c r="C44" s="17" t="str">
        <x:v>Data Protection &amp; Cryptography</x:v>
      </x:c>
      <x:c r="D44" s="17" t="str">
        <x:v>Data is transmitted without encryption</x:v>
      </x:c>
      <x:c r="E44" s="17" t="str">
        <x:v>Data is transmitted without encryption may affect the confidentiality, integrity, availability or resilience of critical services and network and information systems.</x:v>
      </x:c>
      <x:c r="F44" s="17" t="str">
        <x:v>Interception, manipulation or disclosure of data in transit.</x:v>
      </x:c>
      <x:c r="G44" s="17" t="str">
        <x:v>Art.21(2)(h) policies and procedures regarding cryptography and encryption; Art.21(2)(j) secured communications</x:v>
      </x:c>
      <x:c r="H44" s="17" t="str">
        <x:v>Networks, APIs, email, file transfer, web applications</x:v>
      </x:c>
      <x:c r="I44" s="17" t="str">
        <x:v>Medium</x:v>
      </x:c>
      <x:c r="J44" s="17" t="str">
        <x:v>High</x:v>
      </x:c>
      <x:c r="K44" s="17" t="str">
        <x:v>High</x:v>
      </x:c>
      <x:c r="L44" s="17" t="str">
        <x:v>Mitigate</x:v>
      </x:c>
      <x:c r="M44" s="17" t="str">
        <x:v>Enforce secure communications for internal and external data transfers.</x:v>
      </x:c>
      <x:c r="N44" s="17" t="str">
        <x:v>TLS, secure file transfer, VPN/ZTNA, certificate management</x:v>
      </x:c>
      <x:c r="O44" s="17" t="str">
        <x:v>TLS configuration; certificate inventory; secure transfer procedures</x:v>
      </x:c>
      <x:c r="P44" s="17" t="str">
        <x:v>Network Security / Application Owner</x:v>
      </x:c>
      <x:c r="Q44" s="17" t="str">
        <x:v>Quarterly</x:v>
      </x:c>
      <x:c r="R44" s="17" t="str">
        <x:v>NIS2; Secure communications; Encryption</x:v>
      </x:c>
      <x:c r="S44" s="17" t="str">
        <x:v>Not Assessed</x:v>
      </x:c>
      <x:c r="T44" s="17" t="str">
        <x:v>https://eur-lex.europa.eu/eli/dir/2022/2555/oj/eng</x:v>
      </x:c>
      <x:c r="U44" s="17" t="str"/>
    </x:row>
    <x:row r="45" ht="72" customHeight="1">
      <x:c r="A45" s="17" t="str">
        <x:v>CYR-044</x:v>
      </x:c>
      <x:c r="B45" s="17" t="str">
        <x:v>NIS2 Art.21 Cybersecurity Risk Management</x:v>
      </x:c>
      <x:c r="C45" s="17" t="str">
        <x:v>Data Protection &amp; Cryptography</x:v>
      </x:c>
      <x:c r="D45" s="17" t="str">
        <x:v>Poor encryption-key management</x:v>
      </x:c>
      <x:c r="E45" s="17" t="str">
        <x:v>Poor encryption-key management may affect the confidentiality, integrity, availability or resilience of critical services and network and information systems.</x:v>
      </x:c>
      <x:c r="F45" s="17" t="str">
        <x:v>Loss of confidentiality or availability due to exposed, weak or lost keys.</x:v>
      </x:c>
      <x:c r="G45" s="17" t="str">
        <x:v>Art.21(2)(h) policies and procedures regarding cryptography and encryption; Art.21(2)(j) secured communications</x:v>
      </x:c>
      <x:c r="H45" s="17" t="str">
        <x:v>Encryption keys, HSM/KMS, certificates, secrets</x:v>
      </x:c>
      <x:c r="I45" s="17" t="str">
        <x:v>Medium</x:v>
      </x:c>
      <x:c r="J45" s="17" t="str">
        <x:v>High</x:v>
      </x:c>
      <x:c r="K45" s="17" t="str">
        <x:v>High</x:v>
      </x:c>
      <x:c r="L45" s="17" t="str">
        <x:v>Mitigate</x:v>
      </x:c>
      <x:c r="M45" s="17" t="str">
        <x:v>Implement formal cryptographic key lifecycle management.</x:v>
      </x:c>
      <x:c r="N45" s="17" t="str">
        <x:v>Key management policy, KMS/HSM, rotation, access controls, backup keys</x:v>
      </x:c>
      <x:c r="O45" s="17" t="str">
        <x:v>Key management policy; KMS settings; rotation logs; access reviews</x:v>
      </x:c>
      <x:c r="P45" s="17" t="str">
        <x:v>IT Security / Infrastructure Owner</x:v>
      </x:c>
      <x:c r="Q45" s="17" t="str">
        <x:v>Quarterly</x:v>
      </x:c>
      <x:c r="R45" s="17" t="str">
        <x:v>NIS2; Key management; Cryptography</x:v>
      </x:c>
      <x:c r="S45" s="17" t="str">
        <x:v>Not Assessed</x:v>
      </x:c>
      <x:c r="T45" s="17" t="str">
        <x:v>https://eur-lex.europa.eu/eli/dir/2022/2555/oj/eng</x:v>
      </x:c>
      <x:c r="U45" s="17" t="str"/>
    </x:row>
    <x:row r="46" ht="72" customHeight="1">
      <x:c r="A46" s="17" t="str">
        <x:v>CYR-045</x:v>
      </x:c>
      <x:c r="B46" s="17" t="str">
        <x:v>NIS2 Art.21 Cybersecurity Risk Management</x:v>
      </x:c>
      <x:c r="C46" s="17" t="str">
        <x:v>Data Protection &amp; Cryptography</x:v>
      </x:c>
      <x:c r="D46" s="17" t="str">
        <x:v>Excessive data retention</x:v>
      </x:c>
      <x:c r="E46" s="17" t="str">
        <x:v>Excessive data retention may affect the confidentiality, integrity, availability or resilience of critical services and network and information systems.</x:v>
      </x:c>
      <x:c r="F46" s="17" t="str">
        <x:v>Increased breach impact and privacy/compliance exposure.</x:v>
      </x:c>
      <x:c r="G46" s="17" t="str">
        <x:v>Art.21(2)(a) risk analysis; Art.21(2)(i) asset management</x:v>
      </x:c>
      <x:c r="H46" s="17" t="str">
        <x:v>Data repositories, archives, backups, logs, SaaS platforms</x:v>
      </x:c>
      <x:c r="I46" s="17" t="str">
        <x:v>Medium</x:v>
      </x:c>
      <x:c r="J46" s="17" t="str">
        <x:v>High</x:v>
      </x:c>
      <x:c r="K46" s="17" t="str">
        <x:v>Medium</x:v>
      </x:c>
      <x:c r="L46" s="17" t="str">
        <x:v>Mitigate</x:v>
      </x:c>
      <x:c r="M46" s="17" t="str">
        <x:v>Define and enforce data retention and secure deletion rules.</x:v>
      </x:c>
      <x:c r="N46" s="17" t="str">
        <x:v>Data retention schedule, deletion workflow, archive controls</x:v>
      </x:c>
      <x:c r="O46" s="17" t="str">
        <x:v>Retention policy; deletion logs; archive register; exception approvals</x:v>
      </x:c>
      <x:c r="P46" s="17" t="str">
        <x:v>Data Protection Officer / Data Owner</x:v>
      </x:c>
      <x:c r="Q46" s="17" t="str">
        <x:v>Quarterly</x:v>
      </x:c>
      <x:c r="R46" s="17" t="str">
        <x:v>NIS2; Data retention; Data minimization</x:v>
      </x:c>
      <x:c r="S46" s="17" t="str">
        <x:v>Not Assessed</x:v>
      </x:c>
      <x:c r="T46" s="17" t="str">
        <x:v>https://eur-lex.europa.eu/eli/dir/2022/2555/oj/eng</x:v>
      </x:c>
      <x:c r="U46" s="17" t="str"/>
    </x:row>
    <x:row r="47" ht="72" customHeight="1">
      <x:c r="A47" s="17" t="str">
        <x:v>CYR-046</x:v>
      </x:c>
      <x:c r="B47" s="17" t="str">
        <x:v>NIS2 Art.21 Cybersecurity Risk Management</x:v>
      </x:c>
      <x:c r="C47" s="17" t="str">
        <x:v>Data Protection &amp; Cryptography</x:v>
      </x:c>
      <x:c r="D47" s="17" t="str">
        <x:v>Data leakage through email or cloud sharing</x:v>
      </x:c>
      <x:c r="E47" s="17" t="str">
        <x:v>Data leakage through email or cloud sharing may affect the confidentiality, integrity, availability or resilience of critical services and network and information systems.</x:v>
      </x:c>
      <x:c r="F47" s="17" t="str">
        <x:v>Confidentiality breach, regulatory exposure and reputational damage.</x:v>
      </x:c>
      <x:c r="G47" s="17" t="str">
        <x:v>Art.21(2)(h) encryption; Art.21(2)(j) secured communications; Art.21(2)(i) access control</x:v>
      </x:c>
      <x:c r="H47" s="17" t="str">
        <x:v>Email, collaboration platforms, cloud storage, file sharing</x:v>
      </x:c>
      <x:c r="I47" s="17" t="str">
        <x:v>Medium</x:v>
      </x:c>
      <x:c r="J47" s="17" t="str">
        <x:v>High</x:v>
      </x:c>
      <x:c r="K47" s="17" t="str">
        <x:v>High</x:v>
      </x:c>
      <x:c r="L47" s="17" t="str">
        <x:v>Mitigate</x:v>
      </x:c>
      <x:c r="M47" s="17" t="str">
        <x:v>Deploy data leakage prevention and secure sharing controls.</x:v>
      </x:c>
      <x:c r="N47" s="17" t="str">
        <x:v>DLP, sharing restrictions, external collaboration controls, encryption</x:v>
      </x:c>
      <x:c r="O47" s="17" t="str">
        <x:v>DLP policies; sharing reports; incident records; user training records</x:v>
      </x:c>
      <x:c r="P47" s="17" t="str">
        <x:v>IT Security / Data Owner</x:v>
      </x:c>
      <x:c r="Q47" s="17" t="str">
        <x:v>Quarterly</x:v>
      </x:c>
      <x:c r="R47" s="17" t="str">
        <x:v>NIS2; DLP; Cloud sharing</x:v>
      </x:c>
      <x:c r="S47" s="17" t="str">
        <x:v>Not Assessed</x:v>
      </x:c>
      <x:c r="T47" s="17" t="str">
        <x:v>https://eur-lex.europa.eu/eli/dir/2022/2555/oj/eng</x:v>
      </x:c>
      <x:c r="U47" s="17" t="str"/>
    </x:row>
    <x:row r="48" ht="72" customHeight="1">
      <x:c r="A48" s="17" t="str">
        <x:v>CYR-047</x:v>
      </x:c>
      <x:c r="B48" s="17" t="str">
        <x:v>NIS2 Art.21 Cybersecurity Risk Management</x:v>
      </x:c>
      <x:c r="C48" s="17" t="str">
        <x:v>Data Protection &amp; Cryptography</x:v>
      </x:c>
      <x:c r="D48" s="17" t="str">
        <x:v>Backups contain unprotected sensitive data</x:v>
      </x:c>
      <x:c r="E48" s="17" t="str">
        <x:v>Backups contain unprotected sensitive data may affect the confidentiality, integrity, availability or resilience of critical services and network and information systems.</x:v>
      </x:c>
      <x:c r="F48" s="17" t="str">
        <x:v>Sensitive data exposure through backup compromise or theft.</x:v>
      </x:c>
      <x:c r="G48" s="17" t="str">
        <x:v>Art.21(2)(c) backup management; Art.21(2)(h) encryption</x:v>
      </x:c>
      <x:c r="H48" s="17" t="str">
        <x:v>Backup systems, backup media, recovery vaults, cloud backup</x:v>
      </x:c>
      <x:c r="I48" s="17" t="str">
        <x:v>Medium</x:v>
      </x:c>
      <x:c r="J48" s="17" t="str">
        <x:v>High</x:v>
      </x:c>
      <x:c r="K48" s="17" t="str">
        <x:v>High</x:v>
      </x:c>
      <x:c r="L48" s="17" t="str">
        <x:v>Mitigate</x:v>
      </x:c>
      <x:c r="M48" s="17" t="str">
        <x:v>Encrypt backups and restrict access to backup repositories.</x:v>
      </x:c>
      <x:c r="N48" s="17" t="str">
        <x:v>Backup encryption, access restrictions, immutable backups, backup monitoring</x:v>
      </x:c>
      <x:c r="O48" s="17" t="str">
        <x:v>Backup encryption settings; access logs; backup policy; restore tests</x:v>
      </x:c>
      <x:c r="P48" s="17" t="str">
        <x:v>IT Operations / Backup Owner</x:v>
      </x:c>
      <x:c r="Q48" s="17" t="str">
        <x:v>Quarterly</x:v>
      </x:c>
      <x:c r="R48" s="17" t="str">
        <x:v>NIS2; Backups; Encryption</x:v>
      </x:c>
      <x:c r="S48" s="17" t="str">
        <x:v>Not Assessed</x:v>
      </x:c>
      <x:c r="T48" s="17" t="str">
        <x:v>https://eur-lex.europa.eu/eli/dir/2022/2555/oj/eng</x:v>
      </x:c>
      <x:c r="U48" s="17" t="str"/>
    </x:row>
    <x:row r="49" ht="72" customHeight="1">
      <x:c r="A49" s="17" t="str">
        <x:v>CYR-048</x:v>
      </x:c>
      <x:c r="B49" s="17" t="str">
        <x:v>NIS2 Art.21 Cybersecurity Risk Management</x:v>
      </x:c>
      <x:c r="C49" s="17" t="str">
        <x:v>Data Protection &amp; Cryptography</x:v>
      </x:c>
      <x:c r="D49" s="17" t="str">
        <x:v>Poor database access controls</x:v>
      </x:c>
      <x:c r="E49" s="17" t="str">
        <x:v>Poor database access controls may affect the confidentiality, integrity, availability or resilience of critical services and network and information systems.</x:v>
      </x:c>
      <x:c r="F49" s="17" t="str">
        <x:v>Unauthorized access to critical business or personal data.</x:v>
      </x:c>
      <x:c r="G49" s="17" t="str">
        <x:v>Art.21(2)(i) access control; Art.21(2)(h) encryption</x:v>
      </x:c>
      <x:c r="H49" s="17" t="str">
        <x:v>Databases, data warehouses, reporting platforms</x:v>
      </x:c>
      <x:c r="I49" s="17" t="str">
        <x:v>Medium</x:v>
      </x:c>
      <x:c r="J49" s="17" t="str">
        <x:v>High</x:v>
      </x:c>
      <x:c r="K49" s="17" t="str">
        <x:v>High</x:v>
      </x:c>
      <x:c r="L49" s="17" t="str">
        <x:v>Mitigate</x:v>
      </x:c>
      <x:c r="M49" s="17" t="str">
        <x:v>Restrict and monitor database access using least privilege and logging.</x:v>
      </x:c>
      <x:c r="N49" s="17" t="str">
        <x:v>Database access review, privileged database monitoring, encryption, activity logging</x:v>
      </x:c>
      <x:c r="O49" s="17" t="str">
        <x:v>Database access matrix; DBA logs; access reviews; query audit reports</x:v>
      </x:c>
      <x:c r="P49" s="17" t="str">
        <x:v>Database Administrator / Data Owner</x:v>
      </x:c>
      <x:c r="Q49" s="17" t="str">
        <x:v>Quarterly</x:v>
      </x:c>
      <x:c r="R49" s="17" t="str">
        <x:v>NIS2; Database security; Access control</x:v>
      </x:c>
      <x:c r="S49" s="17" t="str">
        <x:v>Not Assessed</x:v>
      </x:c>
      <x:c r="T49" s="17" t="str">
        <x:v>https://eur-lex.europa.eu/eli/dir/2022/2555/oj/eng</x:v>
      </x:c>
      <x:c r="U49" s="17" t="str"/>
    </x:row>
    <x:row r="50" ht="72" customHeight="1">
      <x:c r="A50" s="17" t="str">
        <x:v>CYR-049</x:v>
      </x:c>
      <x:c r="B50" s="17" t="str">
        <x:v>NIS2 Art.21 Cybersecurity Risk Management</x:v>
      </x:c>
      <x:c r="C50" s="17" t="str">
        <x:v>Data Protection &amp; Cryptography</x:v>
      </x:c>
      <x:c r="D50" s="17" t="str">
        <x:v>Inadequate protection of logs</x:v>
      </x:c>
      <x:c r="E50" s="17" t="str">
        <x:v>Inadequate protection of logs may affect the confidentiality, integrity, availability or resilience of critical services and network and information systems.</x:v>
      </x:c>
      <x:c r="F50" s="17" t="str">
        <x:v>Log tampering, loss of evidence or exposure of sensitive information.</x:v>
      </x:c>
      <x:c r="G50" s="17" t="str">
        <x:v>Art.21(2)(b) incident handling; Art.21(2)(f) effectiveness assessment; Art.21(2)(h) encryption</x:v>
      </x:c>
      <x:c r="H50" s="17" t="str">
        <x:v>Security logs, system logs, audit logs, SIEM</x:v>
      </x:c>
      <x:c r="I50" s="17" t="str">
        <x:v>Medium</x:v>
      </x:c>
      <x:c r="J50" s="17" t="str">
        <x:v>High</x:v>
      </x:c>
      <x:c r="K50" s="17" t="str">
        <x:v>High</x:v>
      </x:c>
      <x:c r="L50" s="17" t="str">
        <x:v>Mitigate</x:v>
      </x:c>
      <x:c r="M50" s="17" t="str">
        <x:v>Protect log integrity, confidentiality and retention.</x:v>
      </x:c>
      <x:c r="N50" s="17" t="str">
        <x:v>Log integrity protection, restricted access, encryption, retention policy</x:v>
      </x:c>
      <x:c r="O50" s="17" t="str">
        <x:v>Log retention settings; SIEM access controls; integrity controls; audit logs</x:v>
      </x:c>
      <x:c r="P50" s="17" t="str">
        <x:v>SOC Manager</x:v>
      </x:c>
      <x:c r="Q50" s="17" t="str">
        <x:v>Quarterly</x:v>
      </x:c>
      <x:c r="R50" s="17" t="str">
        <x:v>NIS2; Logging; Integrity</x:v>
      </x:c>
      <x:c r="S50" s="17" t="str">
        <x:v>Not Assessed</x:v>
      </x:c>
      <x:c r="T50" s="17" t="str">
        <x:v>https://eur-lex.europa.eu/eli/dir/2022/2555/oj/eng</x:v>
      </x:c>
      <x:c r="U50" s="17" t="str"/>
    </x:row>
    <x:row r="51" ht="72" customHeight="1">
      <x:c r="A51" s="17" t="str">
        <x:v>CYR-050</x:v>
      </x:c>
      <x:c r="B51" s="17" t="str">
        <x:v>NIS2 Art.21 Cybersecurity Risk Management</x:v>
      </x:c>
      <x:c r="C51" s="17" t="str">
        <x:v>Data Protection &amp; Cryptography</x:v>
      </x:c>
      <x:c r="D51" s="17" t="str">
        <x:v>Lack of secure disposal procedures</x:v>
      </x:c>
      <x:c r="E51" s="17" t="str">
        <x:v>Lack of secure disposal procedures may affect the confidentiality, integrity, availability or resilience of critical services and network and information systems.</x:v>
      </x:c>
      <x:c r="F51" s="17" t="str">
        <x:v>Data leakage from retired equipment, media or cloud resources.</x:v>
      </x:c>
      <x:c r="G51" s="17" t="str">
        <x:v>Art.21(2)(i) asset management; Art.21(2)(h) encryption</x:v>
      </x:c>
      <x:c r="H51" s="17" t="str">
        <x:v>Laptops, servers, storage media, mobile devices, cloud volumes</x:v>
      </x:c>
      <x:c r="I51" s="17" t="str">
        <x:v>Medium</x:v>
      </x:c>
      <x:c r="J51" s="17" t="str">
        <x:v>High</x:v>
      </x:c>
      <x:c r="K51" s="17" t="str">
        <x:v>Medium</x:v>
      </x:c>
      <x:c r="L51" s="17" t="str">
        <x:v>Mitigate</x:v>
      </x:c>
      <x:c r="M51" s="17" t="str">
        <x:v>Apply secure wiping and disposal procedures for ICT assets and media.</x:v>
      </x:c>
      <x:c r="N51" s="17" t="str">
        <x:v>Secure disposal policy, media sanitization, disposal certificates, asset offboarding</x:v>
      </x:c>
      <x:c r="O51" s="17" t="str">
        <x:v>Disposal records; wiping certificates; asset register updates</x:v>
      </x:c>
      <x:c r="P51" s="17" t="str">
        <x:v>IT Asset Manager</x:v>
      </x:c>
      <x:c r="Q51" s="17" t="str">
        <x:v>Quarterly</x:v>
      </x:c>
      <x:c r="R51" s="17" t="str">
        <x:v>NIS2; Asset disposal; Data protection</x:v>
      </x:c>
      <x:c r="S51" s="17" t="str">
        <x:v>Not Assessed</x:v>
      </x:c>
      <x:c r="T51" s="17" t="str">
        <x:v>https://eur-lex.europa.eu/eli/dir/2022/2555/oj/eng</x:v>
      </x:c>
      <x:c r="U51" s="17" t="str"/>
    </x:row>
    <x:row r="52" ht="72" customHeight="1">
      <x:c r="A52" s="17" t="str">
        <x:v>CYR-051</x:v>
      </x:c>
      <x:c r="B52" s="17" t="str">
        <x:v>NIS2 Art.21 Cybersecurity Risk Management</x:v>
      </x:c>
      <x:c r="C52" s="17" t="str">
        <x:v>Business Continuity &amp; Disaster Recovery</x:v>
      </x:c>
      <x:c r="D52" s="17" t="str">
        <x:v>No business continuity plan for cyber scenarios</x:v>
      </x:c>
      <x:c r="E52" s="17" t="str">
        <x:v>No business continuity plan for cyber scenarios may affect the confidentiality, integrity, availability or resilience of critical services and network and information systems.</x:v>
      </x:c>
      <x:c r="F52" s="17" t="str">
        <x:v>Prolonged service outage and uncoordinated business response after a cyber incident.</x:v>
      </x:c>
      <x:c r="G52" s="17" t="str">
        <x:v>Art.21(2)(c) business continuity, backup management, disaster recovery and crisis management</x:v>
      </x:c>
      <x:c r="H52" s="17" t="str">
        <x:v>Critical services, recovery systems, backups, crisis management, continuity plans</x:v>
      </x:c>
      <x:c r="I52" s="17" t="str">
        <x:v>Medium</x:v>
      </x:c>
      <x:c r="J52" s="17" t="str">
        <x:v>High</x:v>
      </x:c>
      <x:c r="K52" s="17" t="str">
        <x:v>Critical</x:v>
      </x:c>
      <x:c r="L52" s="17" t="str">
        <x:v>Mitigate</x:v>
      </x:c>
      <x:c r="M52" s="17" t="str">
        <x:v>Create and test a cyber-focused business continuity plan.</x:v>
      </x:c>
      <x:c r="N52" s="17" t="str">
        <x:v>Cyber BCP, continuity scenarios, call trees, service continuity procedures</x:v>
      </x:c>
      <x:c r="O52" s="17" t="str">
        <x:v>BCP; exercise reports; call trees; continuity actions</x:v>
      </x:c>
      <x:c r="P52" s="17" t="str">
        <x:v>Business Continuity Manager</x:v>
      </x:c>
      <x:c r="Q52" s="17" t="str">
        <x:v>Quarterly</x:v>
      </x:c>
      <x:c r="R52" s="17" t="str">
        <x:v>NIS2; Business continuity; Cyber scenarios</x:v>
      </x:c>
      <x:c r="S52" s="17" t="str">
        <x:v>Not Assessed</x:v>
      </x:c>
      <x:c r="T52" s="17" t="str">
        <x:v>https://eur-lex.europa.eu/eli/dir/2022/2555/oj/eng</x:v>
      </x:c>
      <x:c r="U52" s="17" t="str"/>
    </x:row>
    <x:row r="53" ht="72" customHeight="1">
      <x:c r="A53" s="17" t="str">
        <x:v>CYR-052</x:v>
      </x:c>
      <x:c r="B53" s="17" t="str">
        <x:v>NIS2 Art.21 Cybersecurity Risk Management</x:v>
      </x:c>
      <x:c r="C53" s="17" t="str">
        <x:v>Business Continuity &amp; Disaster Recovery</x:v>
      </x:c>
      <x:c r="D53" s="17" t="str">
        <x:v>No disaster recovery plan</x:v>
      </x:c>
      <x:c r="E53" s="17" t="str">
        <x:v>No disaster recovery plan may affect the confidentiality, integrity, availability or resilience of critical services and network and information systems.</x:v>
      </x:c>
      <x:c r="F53" s="17" t="str">
        <x:v>Inability to restore critical systems within business tolerance.</x:v>
      </x:c>
      <x:c r="G53" s="17" t="str">
        <x:v>Art.21(2)(c) business continuity, backup management, disaster recovery and crisis management</x:v>
      </x:c>
      <x:c r="H53" s="17" t="str">
        <x:v>Critical systems, recovery infrastructure, applications, data</x:v>
      </x:c>
      <x:c r="I53" s="17" t="str">
        <x:v>Medium</x:v>
      </x:c>
      <x:c r="J53" s="17" t="str">
        <x:v>High</x:v>
      </x:c>
      <x:c r="K53" s="17" t="str">
        <x:v>Critical</x:v>
      </x:c>
      <x:c r="L53" s="17" t="str">
        <x:v>Mitigate</x:v>
      </x:c>
      <x:c r="M53" s="17" t="str">
        <x:v>Define disaster recovery strategy and recovery priorities.</x:v>
      </x:c>
      <x:c r="N53" s="17" t="str">
        <x:v>DR plan, recovery tiers, DR architecture, recovery runbooks</x:v>
      </x:c>
      <x:c r="O53" s="17" t="str">
        <x:v>DR plan; recovery runbooks; DR test results; system priority list</x:v>
      </x:c>
      <x:c r="P53" s="17" t="str">
        <x:v>IT Operations / BCP Manager</x:v>
      </x:c>
      <x:c r="Q53" s="17" t="str">
        <x:v>Quarterly</x:v>
      </x:c>
      <x:c r="R53" s="17" t="str">
        <x:v>NIS2; Disaster recovery; Resilience</x:v>
      </x:c>
      <x:c r="S53" s="17" t="str">
        <x:v>Not Assessed</x:v>
      </x:c>
      <x:c r="T53" s="17" t="str">
        <x:v>https://eur-lex.europa.eu/eli/dir/2022/2555/oj/eng</x:v>
      </x:c>
      <x:c r="U53" s="17" t="str"/>
    </x:row>
    <x:row r="54" ht="72" customHeight="1">
      <x:c r="A54" s="17" t="str">
        <x:v>CYR-053</x:v>
      </x:c>
      <x:c r="B54" s="17" t="str">
        <x:v>NIS2 Art.21 Cybersecurity Risk Management</x:v>
      </x:c>
      <x:c r="C54" s="17" t="str">
        <x:v>Business Continuity &amp; Disaster Recovery</x:v>
      </x:c>
      <x:c r="D54" s="17" t="str">
        <x:v>Backups are not tested</x:v>
      </x:c>
      <x:c r="E54" s="17" t="str">
        <x:v>Backups are not tested may affect the confidentiality, integrity, availability or resilience of critical services and network and information systems.</x:v>
      </x:c>
      <x:c r="F54" s="17" t="str">
        <x:v>Failed recovery during ransomware or destructive incident.</x:v>
      </x:c>
      <x:c r="G54" s="17" t="str">
        <x:v>Art.21(2)(c) business continuity, backup management, disaster recovery and crisis management</x:v>
      </x:c>
      <x:c r="H54" s="17" t="str">
        <x:v>Backups, recovery vaults, critical applications, databases</x:v>
      </x:c>
      <x:c r="I54" s="17" t="str">
        <x:v>Medium</x:v>
      </x:c>
      <x:c r="J54" s="17" t="str">
        <x:v>High</x:v>
      </x:c>
      <x:c r="K54" s="17" t="str">
        <x:v>Critical</x:v>
      </x:c>
      <x:c r="L54" s="17" t="str">
        <x:v>Mitigate</x:v>
      </x:c>
      <x:c r="M54" s="17" t="str">
        <x:v>Test backup restoration regularly and track failed restore actions.</x:v>
      </x:c>
      <x:c r="N54" s="17" t="str">
        <x:v>Restore testing, backup verification, restore SLAs, test evidence</x:v>
      </x:c>
      <x:c r="O54" s="17" t="str">
        <x:v>Restore test reports; backup success logs; remediation tickets</x:v>
      </x:c>
      <x:c r="P54" s="17" t="str">
        <x:v>Backup Owner / IT Operations</x:v>
      </x:c>
      <x:c r="Q54" s="17" t="str">
        <x:v>Quarterly</x:v>
      </x:c>
      <x:c r="R54" s="17" t="str">
        <x:v>NIS2; Backup testing; Recovery</x:v>
      </x:c>
      <x:c r="S54" s="17" t="str">
        <x:v>Not Assessed</x:v>
      </x:c>
      <x:c r="T54" s="17" t="str">
        <x:v>https://eur-lex.europa.eu/eli/dir/2022/2555/oj/eng</x:v>
      </x:c>
      <x:c r="U54" s="17" t="str"/>
    </x:row>
    <x:row r="55" ht="72" customHeight="1">
      <x:c r="A55" s="17" t="str">
        <x:v>CYR-054</x:v>
      </x:c>
      <x:c r="B55" s="17" t="str">
        <x:v>NIS2 Art.21 Cybersecurity Risk Management</x:v>
      </x:c>
      <x:c r="C55" s="17" t="str">
        <x:v>Business Continuity &amp; Disaster Recovery</x:v>
      </x:c>
      <x:c r="D55" s="17" t="str">
        <x:v>Backups are connected to production systems</x:v>
      </x:c>
      <x:c r="E55" s="17" t="str">
        <x:v>Backups are connected to production systems may affect the confidentiality, integrity, availability or resilience of critical services and network and information systems.</x:v>
      </x:c>
      <x:c r="F55" s="17" t="str">
        <x:v>Backups may be encrypted, deleted or corrupted by attackers.</x:v>
      </x:c>
      <x:c r="G55" s="17" t="str">
        <x:v>Art.21(2)(c) business continuity, backup management, disaster recovery and crisis management</x:v>
      </x:c>
      <x:c r="H55" s="17" t="str">
        <x:v>Backup repositories, storage, backup admin accounts, recovery vaults</x:v>
      </x:c>
      <x:c r="I55" s="17" t="str">
        <x:v>Medium</x:v>
      </x:c>
      <x:c r="J55" s="17" t="str">
        <x:v>High</x:v>
      </x:c>
      <x:c r="K55" s="17" t="str">
        <x:v>Critical</x:v>
      </x:c>
      <x:c r="L55" s="17" t="str">
        <x:v>Mitigate</x:v>
      </x:c>
      <x:c r="M55" s="17" t="str">
        <x:v>Use immutable, offline or logically isolated backups.</x:v>
      </x:c>
      <x:c r="N55" s="17" t="str">
        <x:v>Immutable backups, offline copies, backup network isolation, admin segregation</x:v>
      </x:c>
      <x:c r="O55" s="17" t="str">
        <x:v>Backup architecture; immutability settings; access reviews; ransomware recovery tests</x:v>
      </x:c>
      <x:c r="P55" s="17" t="str">
        <x:v>Backup Owner / IT Security</x:v>
      </x:c>
      <x:c r="Q55" s="17" t="str">
        <x:v>Quarterly</x:v>
      </x:c>
      <x:c r="R55" s="17" t="str">
        <x:v>NIS2; Immutable backups; Ransomware resilience</x:v>
      </x:c>
      <x:c r="S55" s="17" t="str">
        <x:v>Not Assessed</x:v>
      </x:c>
      <x:c r="T55" s="17" t="str">
        <x:v>https://eur-lex.europa.eu/eli/dir/2022/2555/oj/eng</x:v>
      </x:c>
      <x:c r="U55" s="17" t="str"/>
    </x:row>
    <x:row r="56" ht="72" customHeight="1">
      <x:c r="A56" s="17" t="str">
        <x:v>CYR-055</x:v>
      </x:c>
      <x:c r="B56" s="17" t="str">
        <x:v>NIS2 Art.21 Cybersecurity Risk Management</x:v>
      </x:c>
      <x:c r="C56" s="17" t="str">
        <x:v>Business Continuity &amp; Disaster Recovery</x:v>
      </x:c>
      <x:c r="D56" s="17" t="str">
        <x:v>Recovery time objectives are not defined</x:v>
      </x:c>
      <x:c r="E56" s="17" t="str">
        <x:v>Recovery time objectives are not defined may affect the confidentiality, integrity, availability or resilience of critical services and network and information systems.</x:v>
      </x:c>
      <x:c r="F56" s="17" t="str">
        <x:v>Business disruption exceeds management tolerance.</x:v>
      </x:c>
      <x:c r="G56" s="17" t="str">
        <x:v>Art.21(2)(c) business continuity, backup management, disaster recovery and crisis management</x:v>
      </x:c>
      <x:c r="H56" s="17" t="str">
        <x:v>Critical services, applications, databases, service owners</x:v>
      </x:c>
      <x:c r="I56" s="17" t="str">
        <x:v>Medium</x:v>
      </x:c>
      <x:c r="J56" s="17" t="str">
        <x:v>High</x:v>
      </x:c>
      <x:c r="K56" s="17" t="str">
        <x:v>High</x:v>
      </x:c>
      <x:c r="L56" s="17" t="str">
        <x:v>Mitigate</x:v>
      </x:c>
      <x:c r="M56" s="17" t="str">
        <x:v>Define RTO/RPO for critical services and align backup/recovery capabilities.</x:v>
      </x:c>
      <x:c r="N56" s="17" t="str">
        <x:v>BIA, RTO/RPO definition, service criticality tiers, recovery planning</x:v>
      </x:c>
      <x:c r="O56" s="17" t="str">
        <x:v>BIA; RTO/RPO register; service tier list; management approval</x:v>
      </x:c>
      <x:c r="P56" s="17" t="str">
        <x:v>Business Continuity Manager</x:v>
      </x:c>
      <x:c r="Q56" s="17" t="str">
        <x:v>Quarterly</x:v>
      </x:c>
      <x:c r="R56" s="17" t="str">
        <x:v>NIS2; RTO; RPO</x:v>
      </x:c>
      <x:c r="S56" s="17" t="str">
        <x:v>Not Assessed</x:v>
      </x:c>
      <x:c r="T56" s="17" t="str">
        <x:v>https://eur-lex.europa.eu/eli/dir/2022/2555/oj/eng</x:v>
      </x:c>
      <x:c r="U56" s="17" t="str"/>
    </x:row>
    <x:row r="57" ht="72" customHeight="1">
      <x:c r="A57" s="17" t="str">
        <x:v>CYR-056</x:v>
      </x:c>
      <x:c r="B57" s="17" t="str">
        <x:v>NIS2 Art.21 Cybersecurity Risk Management</x:v>
      </x:c>
      <x:c r="C57" s="17" t="str">
        <x:v>Business Continuity &amp; Disaster Recovery</x:v>
      </x:c>
      <x:c r="D57" s="17" t="str">
        <x:v>Crisis management is not tested</x:v>
      </x:c>
      <x:c r="E57" s="17" t="str">
        <x:v>Crisis management is not tested may affect the confidentiality, integrity, availability or resilience of critical services and network and information systems.</x:v>
      </x:c>
      <x:c r="F57" s="17" t="str">
        <x:v>Poor executive coordination and communication during major cyber incidents.</x:v>
      </x:c>
      <x:c r="G57" s="17" t="str">
        <x:v>Art.21(2)(c) business continuity, backup management, disaster recovery and crisis management</x:v>
      </x:c>
      <x:c r="H57" s="17" t="str">
        <x:v>Management body, crisis team, communications, legal/compliance</x:v>
      </x:c>
      <x:c r="I57" s="17" t="str">
        <x:v>Medium</x:v>
      </x:c>
      <x:c r="J57" s="17" t="str">
        <x:v>High</x:v>
      </x:c>
      <x:c r="K57" s="17" t="str">
        <x:v>High</x:v>
      </x:c>
      <x:c r="L57" s="17" t="str">
        <x:v>Mitigate</x:v>
      </x:c>
      <x:c r="M57" s="17" t="str">
        <x:v>Conduct crisis exercises and executive tabletop testing.</x:v>
      </x:c>
      <x:c r="N57" s="17" t="str">
        <x:v>Crisis management exercises, tabletop scenarios, communication templates</x:v>
      </x:c>
      <x:c r="O57" s="17" t="str">
        <x:v>Exercise reports; action plans; communication templates; participant lists</x:v>
      </x:c>
      <x:c r="P57" s="17" t="str">
        <x:v>Crisis Manager / CISO</x:v>
      </x:c>
      <x:c r="Q57" s="17" t="str">
        <x:v>Quarterly</x:v>
      </x:c>
      <x:c r="R57" s="17" t="str">
        <x:v>NIS2; Crisis management; Exercises</x:v>
      </x:c>
      <x:c r="S57" s="17" t="str">
        <x:v>Not Assessed</x:v>
      </x:c>
      <x:c r="T57" s="17" t="str">
        <x:v>https://eur-lex.europa.eu/eli/dir/2022/2555/oj/eng</x:v>
      </x:c>
      <x:c r="U57" s="17" t="str"/>
    </x:row>
    <x:row r="58" ht="72" customHeight="1">
      <x:c r="A58" s="17" t="str">
        <x:v>CYR-057</x:v>
      </x:c>
      <x:c r="B58" s="17" t="str">
        <x:v>NIS2 Art.21 Cybersecurity Risk Management</x:v>
      </x:c>
      <x:c r="C58" s="17" t="str">
        <x:v>Business Continuity &amp; Disaster Recovery</x:v>
      </x:c>
      <x:c r="D58" s="17" t="str">
        <x:v>Single points of failure in critical systems</x:v>
      </x:c>
      <x:c r="E58" s="17" t="str">
        <x:v>Single points of failure in critical systems may affect the confidentiality, integrity, availability or resilience of critical services and network and information systems.</x:v>
      </x:c>
      <x:c r="F58" s="17" t="str">
        <x:v>Service interruption if one component, provider or location fails.</x:v>
      </x:c>
      <x:c r="G58" s="17" t="str">
        <x:v>Art.21(2)(c) business continuity, backup management, disaster recovery and crisis management</x:v>
      </x:c>
      <x:c r="H58" s="17" t="str">
        <x:v>Critical infrastructure, network paths, systems, suppliers, locations</x:v>
      </x:c>
      <x:c r="I58" s="17" t="str">
        <x:v>Medium</x:v>
      </x:c>
      <x:c r="J58" s="17" t="str">
        <x:v>High</x:v>
      </x:c>
      <x:c r="K58" s="17" t="str">
        <x:v>High</x:v>
      </x:c>
      <x:c r="L58" s="17" t="str">
        <x:v>Mitigate</x:v>
      </x:c>
      <x:c r="M58" s="17" t="str">
        <x:v>Identify and reduce single points of failure in critical services.</x:v>
      </x:c>
      <x:c r="N58" s="17" t="str">
        <x:v>Architecture review, redundancy, failover, dependency analysis</x:v>
      </x:c>
      <x:c r="O58" s="17" t="str">
        <x:v>Architecture diagrams; SPOF analysis; failover test reports</x:v>
      </x:c>
      <x:c r="P58" s="17" t="str">
        <x:v>IT Architecture / Service Owner</x:v>
      </x:c>
      <x:c r="Q58" s="17" t="str">
        <x:v>Quarterly</x:v>
      </x:c>
      <x:c r="R58" s="17" t="str">
        <x:v>NIS2; SPOF; Resilience</x:v>
      </x:c>
      <x:c r="S58" s="17" t="str">
        <x:v>Not Assessed</x:v>
      </x:c>
      <x:c r="T58" s="17" t="str">
        <x:v>https://eur-lex.europa.eu/eli/dir/2022/2555/oj/eng</x:v>
      </x:c>
      <x:c r="U58" s="17" t="str"/>
    </x:row>
    <x:row r="59" ht="72" customHeight="1">
      <x:c r="A59" s="17" t="str">
        <x:v>CYR-058</x:v>
      </x:c>
      <x:c r="B59" s="17" t="str">
        <x:v>NIS2 Art.21 Cybersecurity Risk Management</x:v>
      </x:c>
      <x:c r="C59" s="17" t="str">
        <x:v>Business Continuity &amp; Disaster Recovery</x:v>
      </x:c>
      <x:c r="D59" s="17" t="str">
        <x:v>Power, telecom or data-centre dependency failure</x:v>
      </x:c>
      <x:c r="E59" s="17" t="str">
        <x:v>Power, telecom or data-centre dependency failure may affect the confidentiality, integrity, availability or resilience of critical services and network and information systems.</x:v>
      </x:c>
      <x:c r="F59" s="17" t="str">
        <x:v>Loss of service availability due to infrastructure or provider outage.</x:v>
      </x:c>
      <x:c r="G59" s="17" t="str">
        <x:v>Art.21(2)(c) business continuity, backup management, disaster recovery and crisis management</x:v>
      </x:c>
      <x:c r="H59" s="17" t="str">
        <x:v>Data centres, telecom lines, power, cloud regions, facilities</x:v>
      </x:c>
      <x:c r="I59" s="17" t="str">
        <x:v>Medium</x:v>
      </x:c>
      <x:c r="J59" s="17" t="str">
        <x:v>High</x:v>
      </x:c>
      <x:c r="K59" s="17" t="str">
        <x:v>High</x:v>
      </x:c>
      <x:c r="L59" s="17" t="str">
        <x:v>Mitigate</x:v>
      </x:c>
      <x:c r="M59" s="17" t="str">
        <x:v>Build redundancy and supplier continuity plans for critical infrastructure dependencies.</x:v>
      </x:c>
      <x:c r="N59" s="17" t="str">
        <x:v>Redundant power/connectivity, provider SLAs, continuity testing, alternate sites</x:v>
      </x:c>
      <x:c r="O59" s="17" t="str">
        <x:v>Supplier SLAs; redundancy architecture; test reports; continuity plans</x:v>
      </x:c>
      <x:c r="P59" s="17" t="str">
        <x:v>IT Operations / Facilities</x:v>
      </x:c>
      <x:c r="Q59" s="17" t="str">
        <x:v>Quarterly</x:v>
      </x:c>
      <x:c r="R59" s="17" t="str">
        <x:v>NIS2; Infrastructure dependency; Availability</x:v>
      </x:c>
      <x:c r="S59" s="17" t="str">
        <x:v>Not Assessed</x:v>
      </x:c>
      <x:c r="T59" s="17" t="str">
        <x:v>https://eur-lex.europa.eu/eli/dir/2022/2555/oj/eng</x:v>
      </x:c>
      <x:c r="U59" s="17" t="str"/>
    </x:row>
    <x:row r="60" ht="72" customHeight="1">
      <x:c r="A60" s="17" t="str">
        <x:v>CYR-059</x:v>
      </x:c>
      <x:c r="B60" s="17" t="str">
        <x:v>NIS2 Art.21 Cybersecurity Risk Management</x:v>
      </x:c>
      <x:c r="C60" s="17" t="str">
        <x:v>Business Continuity &amp; Disaster Recovery</x:v>
      </x:c>
      <x:c r="D60" s="17" t="str">
        <x:v>No manual workaround for critical processes</x:v>
      </x:c>
      <x:c r="E60" s="17" t="str">
        <x:v>No manual workaround for critical processes may affect the confidentiality, integrity, availability or resilience of critical services and network and information systems.</x:v>
      </x:c>
      <x:c r="F60" s="17" t="str">
        <x:v>Operations stop completely during ICT outage.</x:v>
      </x:c>
      <x:c r="G60" s="17" t="str">
        <x:v>Art.21(2)(c) business continuity, backup management, disaster recovery and crisis management</x:v>
      </x:c>
      <x:c r="H60" s="17" t="str">
        <x:v>Critical business processes, service desks, customer support, operations</x:v>
      </x:c>
      <x:c r="I60" s="17" t="str">
        <x:v>Medium</x:v>
      </x:c>
      <x:c r="J60" s="17" t="str">
        <x:v>High</x:v>
      </x:c>
      <x:c r="K60" s="17" t="str">
        <x:v>Medium</x:v>
      </x:c>
      <x:c r="L60" s="17" t="str">
        <x:v>Mitigate</x:v>
      </x:c>
      <x:c r="M60" s="17" t="str">
        <x:v>Define manual fallback procedures for critical business processes.</x:v>
      </x:c>
      <x:c r="N60" s="17" t="str">
        <x:v>Manual workaround procedures, process owner training, fallback forms</x:v>
      </x:c>
      <x:c r="O60" s="17" t="str">
        <x:v>Manual procedures; exercise records; staff training logs</x:v>
      </x:c>
      <x:c r="P60" s="17" t="str">
        <x:v>Business Process Owner / BCP Manager</x:v>
      </x:c>
      <x:c r="Q60" s="17" t="str">
        <x:v>Quarterly</x:v>
      </x:c>
      <x:c r="R60" s="17" t="str">
        <x:v>NIS2; Manual fallback; Continuity</x:v>
      </x:c>
      <x:c r="S60" s="17" t="str">
        <x:v>Not Assessed</x:v>
      </x:c>
      <x:c r="T60" s="17" t="str">
        <x:v>https://eur-lex.europa.eu/eli/dir/2022/2555/oj/eng</x:v>
      </x:c>
      <x:c r="U60" s="17" t="str"/>
    </x:row>
    <x:row r="61" ht="72" customHeight="1">
      <x:c r="A61" s="17" t="str">
        <x:v>CYR-060</x:v>
      </x:c>
      <x:c r="B61" s="17" t="str">
        <x:v>NIS2 Art.21 Cybersecurity Risk Management</x:v>
      </x:c>
      <x:c r="C61" s="17" t="str">
        <x:v>Business Continuity &amp; Disaster Recovery</x:v>
      </x:c>
      <x:c r="D61" s="17" t="str">
        <x:v>Recovery priorities are not aligned with business impact</x:v>
      </x:c>
      <x:c r="E61" s="17" t="str">
        <x:v>Recovery priorities are not aligned with business impact may affect the confidentiality, integrity, availability or resilience of critical services and network and information systems.</x:v>
      </x:c>
      <x:c r="F61" s="17" t="str">
        <x:v>Wrong systems are restored first and critical services remain unavailable.</x:v>
      </x:c>
      <x:c r="G61" s="17" t="str">
        <x:v>Art.21(2)(c) business continuity, backup management, disaster recovery and crisis management</x:v>
      </x:c>
      <x:c r="H61" s="17" t="str">
        <x:v>Critical services, applications, recovery plans, DR runbooks</x:v>
      </x:c>
      <x:c r="I61" s="17" t="str">
        <x:v>Medium</x:v>
      </x:c>
      <x:c r="J61" s="17" t="str">
        <x:v>High</x:v>
      </x:c>
      <x:c r="K61" s="17" t="str">
        <x:v>High</x:v>
      </x:c>
      <x:c r="L61" s="17" t="str">
        <x:v>Mitigate</x:v>
      </x:c>
      <x:c r="M61" s="17" t="str">
        <x:v>Align recovery sequence with business impact analysis and criticality.</x:v>
      </x:c>
      <x:c r="N61" s="17" t="str">
        <x:v>BIA-based recovery prioritization, recovery runbooks, management approval</x:v>
      </x:c>
      <x:c r="O61" s="17" t="str">
        <x:v>BIA; recovery sequence; DR runbooks; exercise reports</x:v>
      </x:c>
      <x:c r="P61" s="17" t="str">
        <x:v>Business Continuity Manager / IT Operations</x:v>
      </x:c>
      <x:c r="Q61" s="17" t="str">
        <x:v>Quarterly</x:v>
      </x:c>
      <x:c r="R61" s="17" t="str">
        <x:v>NIS2; Recovery priority; BIA</x:v>
      </x:c>
      <x:c r="S61" s="17" t="str">
        <x:v>Not Assessed</x:v>
      </x:c>
      <x:c r="T61" s="17" t="str">
        <x:v>https://eur-lex.europa.eu/eli/dir/2022/2555/oj/eng</x:v>
      </x:c>
      <x:c r="U61" s="17" t="str"/>
    </x:row>
    <x:row r="62" ht="72" customHeight="1">
      <x:c r="A62" s="17" t="str">
        <x:v>CYR-061</x:v>
      </x:c>
      <x:c r="B62" s="17" t="str">
        <x:v>NIS2 Art.21 Cybersecurity Risk Management</x:v>
      </x:c>
      <x:c r="C62" s="17" t="str">
        <x:v>Supplier &amp; Third-Party Risk</x:v>
      </x:c>
      <x:c r="D62" s="17" t="str">
        <x:v>Suppliers are not risk assessed</x:v>
      </x:c>
      <x:c r="E62" s="17" t="str">
        <x:v>Suppliers are not risk assessed may affect the confidentiality, integrity, availability or resilience of critical services and network and information systems.</x:v>
      </x:c>
      <x:c r="F62" s="17" t="str">
        <x:v>Hidden third-party exposure affecting critical services and data.</x:v>
      </x:c>
      <x:c r="G62" s="17" t="str">
        <x:v>Art.21(2)(d) supply-chain security; Art.21(2)(e) security in acquisition, development and maintenance</x:v>
      </x:c>
      <x:c r="H62" s="17" t="str">
        <x:v>Suppliers, ICT providers, cloud services, outsourced services, subcontractors</x:v>
      </x:c>
      <x:c r="I62" s="17" t="str">
        <x:v>Medium</x:v>
      </x:c>
      <x:c r="J62" s="17" t="str">
        <x:v>High</x:v>
      </x:c>
      <x:c r="K62" s="17" t="str">
        <x:v>High</x:v>
      </x:c>
      <x:c r="L62" s="17" t="str">
        <x:v>Mitigate</x:v>
      </x:c>
      <x:c r="M62" s="17" t="str">
        <x:v>Perform supplier cybersecurity assessment before onboarding and periodically thereafter.</x:v>
      </x:c>
      <x:c r="N62" s="17" t="str">
        <x:v>Supplier risk assessment, due diligence, criticality classification, reassessment cycle</x:v>
      </x:c>
      <x:c r="O62" s="17" t="str">
        <x:v>Supplier assessments; due diligence records; supplier risk register</x:v>
      </x:c>
      <x:c r="P62" s="17" t="str">
        <x:v>Third-Party Risk Manager</x:v>
      </x:c>
      <x:c r="Q62" s="17" t="str">
        <x:v>Quarterly</x:v>
      </x:c>
      <x:c r="R62" s="17" t="str">
        <x:v>NIS2; Supplier risk; Third party</x:v>
      </x:c>
      <x:c r="S62" s="17" t="str">
        <x:v>Not Assessed</x:v>
      </x:c>
      <x:c r="T62" s="17" t="str">
        <x:v>https://eur-lex.europa.eu/eli/dir/2022/2555/oj/eng</x:v>
      </x:c>
      <x:c r="U62" s="17" t="str"/>
    </x:row>
    <x:row r="63" ht="72" customHeight="1">
      <x:c r="A63" s="17" t="str">
        <x:v>CYR-062</x:v>
      </x:c>
      <x:c r="B63" s="17" t="str">
        <x:v>NIS2 Art.21 Cybersecurity Risk Management</x:v>
      </x:c>
      <x:c r="C63" s="17" t="str">
        <x:v>Supplier &amp; Third-Party Risk</x:v>
      </x:c>
      <x:c r="D63" s="17" t="str">
        <x:v>Supplier contracts lack security requirements</x:v>
      </x:c>
      <x:c r="E63" s="17" t="str">
        <x:v>Supplier contracts lack security requirements may affect the confidentiality, integrity, availability or resilience of critical services and network and information systems.</x:v>
      </x:c>
      <x:c r="F63" s="17" t="str">
        <x:v>Weak contractual protection and unclear responsibilities during incidents.</x:v>
      </x:c>
      <x:c r="G63" s="17" t="str">
        <x:v>Art.21(2)(d) supply-chain security; Art.21(2)(e) security in acquisition, development and maintenance</x:v>
      </x:c>
      <x:c r="H63" s="17" t="str">
        <x:v>Contracts, SLAs, outsourced services, cloud providers</x:v>
      </x:c>
      <x:c r="I63" s="17" t="str">
        <x:v>Medium</x:v>
      </x:c>
      <x:c r="J63" s="17" t="str">
        <x:v>High</x:v>
      </x:c>
      <x:c r="K63" s="17" t="str">
        <x:v>High</x:v>
      </x:c>
      <x:c r="L63" s="17" t="str">
        <x:v>Mitigate</x:v>
      </x:c>
      <x:c r="M63" s="17" t="str">
        <x:v>Add cybersecurity, resilience and reporting clauses to supplier contracts.</x:v>
      </x:c>
      <x:c r="N63" s="17" t="str">
        <x:v>Security clauses, SLAs, audit rights, incident notification, data protection terms</x:v>
      </x:c>
      <x:c r="O63" s="17" t="str">
        <x:v>Contract templates; executed supplier contracts; clause checklist</x:v>
      </x:c>
      <x:c r="P63" s="17" t="str">
        <x:v>Procurement / Legal</x:v>
      </x:c>
      <x:c r="Q63" s="17" t="str">
        <x:v>Quarterly</x:v>
      </x:c>
      <x:c r="R63" s="17" t="str">
        <x:v>NIS2; Contracts; Third party</x:v>
      </x:c>
      <x:c r="S63" s="17" t="str">
        <x:v>Not Assessed</x:v>
      </x:c>
      <x:c r="T63" s="17" t="str">
        <x:v>https://eur-lex.europa.eu/eli/dir/2022/2555/oj/eng</x:v>
      </x:c>
      <x:c r="U63" s="17" t="str"/>
    </x:row>
    <x:row r="64" ht="72" customHeight="1">
      <x:c r="A64" s="17" t="str">
        <x:v>CYR-063</x:v>
      </x:c>
      <x:c r="B64" s="17" t="str">
        <x:v>NIS2 Art.21 Cybersecurity Risk Management</x:v>
      </x:c>
      <x:c r="C64" s="17" t="str">
        <x:v>Supplier &amp; Third-Party Risk</x:v>
      </x:c>
      <x:c r="D64" s="17" t="str">
        <x:v>Critical suppliers lack incident notification obligations</x:v>
      </x:c>
      <x:c r="E64" s="17" t="str">
        <x:v>Critical suppliers lack incident notification obligations may affect the confidentiality, integrity, availability or resilience of critical services and network and information systems.</x:v>
      </x:c>
      <x:c r="F64" s="17" t="str">
        <x:v>Late awareness of supplier incidents and delayed regulatory response.</x:v>
      </x:c>
      <x:c r="G64" s="17" t="str">
        <x:v>Art.21(2)(d) supply-chain security; Art.21(2)(e) security in acquisition, development and maintenance</x:v>
      </x:c>
      <x:c r="H64" s="17" t="str">
        <x:v>Critical suppliers, cloud providers, managed service providers</x:v>
      </x:c>
      <x:c r="I64" s="17" t="str">
        <x:v>Medium</x:v>
      </x:c>
      <x:c r="J64" s="17" t="str">
        <x:v>High</x:v>
      </x:c>
      <x:c r="K64" s="17" t="str">
        <x:v>High</x:v>
      </x:c>
      <x:c r="L64" s="17" t="str">
        <x:v>Mitigate</x:v>
      </x:c>
      <x:c r="M64" s="17" t="str">
        <x:v>Require timely supplier incident notification and escalation procedures.</x:v>
      </x:c>
      <x:c r="N64" s="17" t="str">
        <x:v>Incident notification clauses, supplier escalation contacts, reporting SLAs</x:v>
      </x:c>
      <x:c r="O64" s="17" t="str">
        <x:v>Contract clauses; supplier incident procedure; escalation records</x:v>
      </x:c>
      <x:c r="P64" s="17" t="str">
        <x:v>Third-Party Risk Manager / Legal</x:v>
      </x:c>
      <x:c r="Q64" s="17" t="str">
        <x:v>Quarterly</x:v>
      </x:c>
      <x:c r="R64" s="17" t="str">
        <x:v>NIS2; Supplier incidents; Reporting</x:v>
      </x:c>
      <x:c r="S64" s="17" t="str">
        <x:v>Not Assessed</x:v>
      </x:c>
      <x:c r="T64" s="17" t="str">
        <x:v>https://eur-lex.europa.eu/eli/dir/2022/2555/oj/eng</x:v>
      </x:c>
      <x:c r="U64" s="17" t="str"/>
    </x:row>
    <x:row r="65" ht="72" customHeight="1">
      <x:c r="A65" s="17" t="str">
        <x:v>CYR-064</x:v>
      </x:c>
      <x:c r="B65" s="17" t="str">
        <x:v>NIS2 Art.21 Cybersecurity Risk Management</x:v>
      </x:c>
      <x:c r="C65" s="17" t="str">
        <x:v>Supplier &amp; Third-Party Risk</x:v>
      </x:c>
      <x:c r="D65" s="17" t="str">
        <x:v>Cloud provider misconfiguration</x:v>
      </x:c>
      <x:c r="E65" s="17" t="str">
        <x:v>Cloud provider misconfiguration may affect the confidentiality, integrity, availability or resilience of critical services and network and information systems.</x:v>
      </x:c>
      <x:c r="F65" s="17" t="str">
        <x:v>Data exposure, service compromise or unauthorized access due to shared responsibility gaps.</x:v>
      </x:c>
      <x:c r="G65" s="17" t="str">
        <x:v>Art.21(2)(d) supply-chain security; Art.21(2)(e) security in acquisition, development and maintenance</x:v>
      </x:c>
      <x:c r="H65" s="17" t="str">
        <x:v>Cloud tenants, storage buckets, IAM, cloud networks, SaaS platforms</x:v>
      </x:c>
      <x:c r="I65" s="17" t="str">
        <x:v>Medium</x:v>
      </x:c>
      <x:c r="J65" s="17" t="str">
        <x:v>High</x:v>
      </x:c>
      <x:c r="K65" s="17" t="str">
        <x:v>Critical</x:v>
      </x:c>
      <x:c r="L65" s="17" t="str">
        <x:v>Mitigate</x:v>
      </x:c>
      <x:c r="M65" s="17" t="str">
        <x:v>Review cloud configuration and shared responsibility controls.</x:v>
      </x:c>
      <x:c r="N65" s="17" t="str">
        <x:v>Cloud security posture management, configuration baselines, shared responsibility matrix</x:v>
      </x:c>
      <x:c r="O65" s="17" t="str">
        <x:v>Cloud posture reports; configuration review; shared responsibility matrix</x:v>
      </x:c>
      <x:c r="P65" s="17" t="str">
        <x:v>Cloud Security Owner</x:v>
      </x:c>
      <x:c r="Q65" s="17" t="str">
        <x:v>Quarterly</x:v>
      </x:c>
      <x:c r="R65" s="17" t="str">
        <x:v>NIS2; Cloud security; Misconfiguration</x:v>
      </x:c>
      <x:c r="S65" s="17" t="str">
        <x:v>Not Assessed</x:v>
      </x:c>
      <x:c r="T65" s="17" t="str">
        <x:v>https://eur-lex.europa.eu/eli/dir/2022/2555/oj/eng</x:v>
      </x:c>
      <x:c r="U65" s="17" t="str"/>
    </x:row>
    <x:row r="66" ht="72" customHeight="1">
      <x:c r="A66" s="17" t="str">
        <x:v>CYR-065</x:v>
      </x:c>
      <x:c r="B66" s="17" t="str">
        <x:v>NIS2 Art.21 Cybersecurity Risk Management</x:v>
      </x:c>
      <x:c r="C66" s="17" t="str">
        <x:v>Supplier &amp; Third-Party Risk</x:v>
      </x:c>
      <x:c r="D66" s="17" t="str">
        <x:v>Supplier remote access is uncontrolled</x:v>
      </x:c>
      <x:c r="E66" s="17" t="str">
        <x:v>Supplier remote access is uncontrolled may affect the confidentiality, integrity, availability or resilience of critical services and network and information systems.</x:v>
      </x:c>
      <x:c r="F66" s="17" t="str">
        <x:v>Unauthorized access through vendor accounts or remote maintenance tools.</x:v>
      </x:c>
      <x:c r="G66" s="17" t="str">
        <x:v>Art.21(2)(d) supply-chain security; Art.21(2)(e) security in acquisition, development and maintenance</x:v>
      </x:c>
      <x:c r="H66" s="17" t="str">
        <x:v>Vendor accounts, remote access tools, VPN/ZTNA, privileged access</x:v>
      </x:c>
      <x:c r="I66" s="17" t="str">
        <x:v>Medium</x:v>
      </x:c>
      <x:c r="J66" s="17" t="str">
        <x:v>High</x:v>
      </x:c>
      <x:c r="K66" s="17" t="str">
        <x:v>Critical</x:v>
      </x:c>
      <x:c r="L66" s="17" t="str">
        <x:v>Mitigate</x:v>
      </x:c>
      <x:c r="M66" s="17" t="str">
        <x:v>Restrict, approve and monitor supplier remote access.</x:v>
      </x:c>
      <x:c r="N66" s="17" t="str">
        <x:v>Supplier access approval, MFA, time-bound access, session monitoring, PAM</x:v>
      </x:c>
      <x:c r="O66" s="17" t="str">
        <x:v>Supplier access register; access logs; approval records; PAM reports</x:v>
      </x:c>
      <x:c r="P66" s="17" t="str">
        <x:v>IAM Owner / Third-Party Risk Manager</x:v>
      </x:c>
      <x:c r="Q66" s="17" t="str">
        <x:v>Quarterly</x:v>
      </x:c>
      <x:c r="R66" s="17" t="str">
        <x:v>NIS2; Supplier access; Remote access</x:v>
      </x:c>
      <x:c r="S66" s="17" t="str">
        <x:v>Not Assessed</x:v>
      </x:c>
      <x:c r="T66" s="17" t="str">
        <x:v>https://eur-lex.europa.eu/eli/dir/2022/2555/oj/eng</x:v>
      </x:c>
      <x:c r="U66" s="17" t="str"/>
    </x:row>
    <x:row r="67" ht="72" customHeight="1">
      <x:c r="A67" s="17" t="str">
        <x:v>CYR-066</x:v>
      </x:c>
      <x:c r="B67" s="17" t="str">
        <x:v>NIS2 Art.21 Cybersecurity Risk Management</x:v>
      </x:c>
      <x:c r="C67" s="17" t="str">
        <x:v>Supplier &amp; Third-Party Risk</x:v>
      </x:c>
      <x:c r="D67" s="17" t="str">
        <x:v>Concentration risk on one ICT provider</x:v>
      </x:c>
      <x:c r="E67" s="17" t="str">
        <x:v>Concentration risk on one ICT provider may affect the confidentiality, integrity, availability or resilience of critical services and network and information systems.</x:v>
      </x:c>
      <x:c r="F67" s="17" t="str">
        <x:v>Major outage or operational disruption if a single supplier fails.</x:v>
      </x:c>
      <x:c r="G67" s="17" t="str">
        <x:v>Art.21(2)(d) supply-chain security; Art.21(2)(c) business continuity</x:v>
      </x:c>
      <x:c r="H67" s="17" t="str">
        <x:v>Cloud providers, managed service providers, telecom providers, outsourced platforms</x:v>
      </x:c>
      <x:c r="I67" s="17" t="str">
        <x:v>Medium</x:v>
      </x:c>
      <x:c r="J67" s="17" t="str">
        <x:v>High</x:v>
      </x:c>
      <x:c r="K67" s="17" t="str">
        <x:v>High</x:v>
      </x:c>
      <x:c r="L67" s="17" t="str">
        <x:v>Mitigate</x:v>
      </x:c>
      <x:c r="M67" s="17" t="str">
        <x:v>Assess concentration risk and define resilience or exit options.</x:v>
      </x:c>
      <x:c r="N67" s="17" t="str">
        <x:v>Provider concentration analysis, contingency planning, multi-provider strategy, exit plan</x:v>
      </x:c>
      <x:c r="O67" s="17" t="str">
        <x:v>Concentration risk assessment; exit plans; supplier dependency maps</x:v>
      </x:c>
      <x:c r="P67" s="17" t="str">
        <x:v>Third-Party Risk Manager / Business Continuity Manager</x:v>
      </x:c>
      <x:c r="Q67" s="17" t="str">
        <x:v>Quarterly</x:v>
      </x:c>
      <x:c r="R67" s="17" t="str">
        <x:v>NIS2; Concentration risk; Supplier resilience</x:v>
      </x:c>
      <x:c r="S67" s="17" t="str">
        <x:v>Not Assessed</x:v>
      </x:c>
      <x:c r="T67" s="17" t="str">
        <x:v>https://eur-lex.europa.eu/eli/dir/2022/2555/oj/eng</x:v>
      </x:c>
      <x:c r="U67" s="17" t="str"/>
    </x:row>
    <x:row r="68" ht="72" customHeight="1">
      <x:c r="A68" s="17" t="str">
        <x:v>CYR-067</x:v>
      </x:c>
      <x:c r="B68" s="17" t="str">
        <x:v>NIS2 Art.21 Cybersecurity Risk Management</x:v>
      </x:c>
      <x:c r="C68" s="17" t="str">
        <x:v>Supplier &amp; Third-Party Risk</x:v>
      </x:c>
      <x:c r="D68" s="17" t="str">
        <x:v>Supplier subcontractors are unknown</x:v>
      </x:c>
      <x:c r="E68" s="17" t="str">
        <x:v>Supplier subcontractors are unknown may affect the confidentiality, integrity, availability or resilience of critical services and network and information systems.</x:v>
      </x:c>
      <x:c r="F68" s="17" t="str">
        <x:v>Uncontrolled fourth-party exposure and lack of visibility into supply chain dependencies.</x:v>
      </x:c>
      <x:c r="G68" s="17" t="str">
        <x:v>Art.21(2)(d) supply-chain security; Art.21(2)(e) security in acquisition, development and maintenance</x:v>
      </x:c>
      <x:c r="H68" s="17" t="str">
        <x:v>Fourth parties, subcontractors, outsourced ICT chains</x:v>
      </x:c>
      <x:c r="I68" s="17" t="str">
        <x:v>Medium</x:v>
      </x:c>
      <x:c r="J68" s="17" t="str">
        <x:v>High</x:v>
      </x:c>
      <x:c r="K68" s="17" t="str">
        <x:v>Medium</x:v>
      </x:c>
      <x:c r="L68" s="17" t="str">
        <x:v>Mitigate</x:v>
      </x:c>
      <x:c r="M68" s="17" t="str">
        <x:v>Require subcontractor transparency and change notification for critical suppliers.</x:v>
      </x:c>
      <x:c r="N68" s="17" t="str">
        <x:v>Subcontractor register, supplier disclosure clauses, approval/notification process</x:v>
      </x:c>
      <x:c r="O68" s="17" t="str">
        <x:v>Subcontractor lists; contract clauses; supplier notifications</x:v>
      </x:c>
      <x:c r="P68" s="17" t="str">
        <x:v>Third-Party Risk Manager / Procurement</x:v>
      </x:c>
      <x:c r="Q68" s="17" t="str">
        <x:v>Quarterly</x:v>
      </x:c>
      <x:c r="R68" s="17" t="str">
        <x:v>NIS2; Fourth party; Supply chain</x:v>
      </x:c>
      <x:c r="S68" s="17" t="str">
        <x:v>Not Assessed</x:v>
      </x:c>
      <x:c r="T68" s="17" t="str">
        <x:v>https://eur-lex.europa.eu/eli/dir/2022/2555/oj/eng</x:v>
      </x:c>
      <x:c r="U68" s="17" t="str"/>
    </x:row>
    <x:row r="69" ht="72" customHeight="1">
      <x:c r="A69" s="17" t="str">
        <x:v>CYR-068</x:v>
      </x:c>
      <x:c r="B69" s="17" t="str">
        <x:v>NIS2 Art.21 Cybersecurity Risk Management</x:v>
      </x:c>
      <x:c r="C69" s="17" t="str">
        <x:v>Supplier &amp; Third-Party Risk</x:v>
      </x:c>
      <x:c r="D69" s="17" t="str">
        <x:v>No right to audit critical suppliers</x:v>
      </x:c>
      <x:c r="E69" s="17" t="str">
        <x:v>No right to audit critical suppliers may affect the confidentiality, integrity, availability or resilience of critical services and network and information systems.</x:v>
      </x:c>
      <x:c r="F69" s="17" t="str">
        <x:v>Inability to verify supplier controls or investigate resilience concerns.</x:v>
      </x:c>
      <x:c r="G69" s="17" t="str">
        <x:v>Art.21(2)(d) supply-chain security; Art.21(2)(e) security in acquisition, development and maintenance</x:v>
      </x:c>
      <x:c r="H69" s="17" t="str">
        <x:v>Critical supplier contracts, audit reports, assurance documentation</x:v>
      </x:c>
      <x:c r="I69" s="17" t="str">
        <x:v>Medium</x:v>
      </x:c>
      <x:c r="J69" s="17" t="str">
        <x:v>High</x:v>
      </x:c>
      <x:c r="K69" s="17" t="str">
        <x:v>High</x:v>
      </x:c>
      <x:c r="L69" s="17" t="str">
        <x:v>Mitigate</x:v>
      </x:c>
      <x:c r="M69" s="17" t="str">
        <x:v>Include audit, assurance and evidence rights for critical suppliers.</x:v>
      </x:c>
      <x:c r="N69" s="17" t="str">
        <x:v>Right-to-audit clauses, assurance reports, supplier review meetings</x:v>
      </x:c>
      <x:c r="O69" s="17" t="str">
        <x:v>Contract clauses; SOC/ISO reports; audit plans; review minutes</x:v>
      </x:c>
      <x:c r="P69" s="17" t="str">
        <x:v>Legal / Third-Party Risk Manager</x:v>
      </x:c>
      <x:c r="Q69" s="17" t="str">
        <x:v>Quarterly</x:v>
      </x:c>
      <x:c r="R69" s="17" t="str">
        <x:v>NIS2; Supplier audit; Assurance</x:v>
      </x:c>
      <x:c r="S69" s="17" t="str">
        <x:v>Not Assessed</x:v>
      </x:c>
      <x:c r="T69" s="17" t="str">
        <x:v>https://eur-lex.europa.eu/eli/dir/2022/2555/oj/eng</x:v>
      </x:c>
      <x:c r="U69" s="17" t="str"/>
    </x:row>
    <x:row r="70" ht="72" customHeight="1">
      <x:c r="A70" s="17" t="str">
        <x:v>CYR-069</x:v>
      </x:c>
      <x:c r="B70" s="17" t="str">
        <x:v>NIS2 Art.21 Cybersecurity Risk Management</x:v>
      </x:c>
      <x:c r="C70" s="17" t="str">
        <x:v>Supplier &amp; Third-Party Risk</x:v>
      </x:c>
      <x:c r="D70" s="17" t="str">
        <x:v>No supplier exit plan</x:v>
      </x:c>
      <x:c r="E70" s="17" t="str">
        <x:v>No supplier exit plan may affect the confidentiality, integrity, availability or resilience of critical services and network and information systems.</x:v>
      </x:c>
      <x:c r="F70" s="17" t="str">
        <x:v>Dependency lock-in and inability to transition services during supplier failure.</x:v>
      </x:c>
      <x:c r="G70" s="17" t="str">
        <x:v>Art.21(2)(d) supply-chain security; Art.21(2)(c) business continuity</x:v>
      </x:c>
      <x:c r="H70" s="17" t="str">
        <x:v>Critical suppliers, data, service transition plans, alternative providers</x:v>
      </x:c>
      <x:c r="I70" s="17" t="str">
        <x:v>Medium</x:v>
      </x:c>
      <x:c r="J70" s="17" t="str">
        <x:v>High</x:v>
      </x:c>
      <x:c r="K70" s="17" t="str">
        <x:v>High</x:v>
      </x:c>
      <x:c r="L70" s="17" t="str">
        <x:v>Mitigate</x:v>
      </x:c>
      <x:c r="M70" s="17" t="str">
        <x:v>Maintain exit and transition plans for critical ICT suppliers.</x:v>
      </x:c>
      <x:c r="N70" s="17" t="str">
        <x:v>Exit plan, transition scenarios, data portability, termination support clauses</x:v>
      </x:c>
      <x:c r="O70" s="17" t="str">
        <x:v>Exit plans; transition procedures; data export tests; contract clauses</x:v>
      </x:c>
      <x:c r="P70" s="17" t="str">
        <x:v>Third-Party Risk Manager / Service Owner</x:v>
      </x:c>
      <x:c r="Q70" s="17" t="str">
        <x:v>Quarterly</x:v>
      </x:c>
      <x:c r="R70" s="17" t="str">
        <x:v>NIS2; Exit plan; Supplier resilience</x:v>
      </x:c>
      <x:c r="S70" s="17" t="str">
        <x:v>Not Assessed</x:v>
      </x:c>
      <x:c r="T70" s="17" t="str">
        <x:v>https://eur-lex.europa.eu/eli/dir/2022/2555/oj/eng</x:v>
      </x:c>
      <x:c r="U70" s="17" t="str"/>
    </x:row>
    <x:row r="71" ht="72" customHeight="1">
      <x:c r="A71" s="17" t="str">
        <x:v>CYR-070</x:v>
      </x:c>
      <x:c r="B71" s="17" t="str">
        <x:v>NIS2 Art.21 Cybersecurity Risk Management</x:v>
      </x:c>
      <x:c r="C71" s="17" t="str">
        <x:v>Supplier &amp; Third-Party Risk</x:v>
      </x:c>
      <x:c r="D71" s="17" t="str">
        <x:v>Software supply-chain compromise</x:v>
      </x:c>
      <x:c r="E71" s="17" t="str">
        <x:v>Software supply-chain compromise may affect the confidentiality, integrity, availability or resilience of critical services and network and information systems.</x:v>
      </x:c>
      <x:c r="F71" s="17" t="str">
        <x:v>Malware, backdoor or vulnerable component introduced into systems or products.</x:v>
      </x:c>
      <x:c r="G71" s="17" t="str">
        <x:v>Art.21(2)(d) supply-chain security; Art.21(2)(e) secure development and vulnerability handling</x:v>
      </x:c>
      <x:c r="H71" s="17" t="str">
        <x:v>Software vendors, packages, CI/CD, source code, dependencies</x:v>
      </x:c>
      <x:c r="I71" s="17" t="str">
        <x:v>Medium</x:v>
      </x:c>
      <x:c r="J71" s="17" t="str">
        <x:v>High</x:v>
      </x:c>
      <x:c r="K71" s="17" t="str">
        <x:v>Critical</x:v>
      </x:c>
      <x:c r="L71" s="17" t="str">
        <x:v>Mitigate</x:v>
      </x:c>
      <x:c r="M71" s="17" t="str">
        <x:v>Use secure software supply-chain controls and verify components.</x:v>
      </x:c>
      <x:c r="N71" s="17" t="str">
        <x:v>SBOM, code signing, dependency scanning, vendor assurance, secure CI/CD</x:v>
      </x:c>
      <x:c r="O71" s="17" t="str">
        <x:v>SBOMs; SCA reports; code signing records; vendor assurance evidence</x:v>
      </x:c>
      <x:c r="P71" s="17" t="str">
        <x:v>Application Security / Procurement</x:v>
      </x:c>
      <x:c r="Q71" s="17" t="str">
        <x:v>Quarterly</x:v>
      </x:c>
      <x:c r="R71" s="17" t="str">
        <x:v>NIS2; Software supply chain; SBOM</x:v>
      </x:c>
      <x:c r="S71" s="17" t="str">
        <x:v>Not Assessed</x:v>
      </x:c>
      <x:c r="T71" s="17" t="str">
        <x:v>https://eur-lex.europa.eu/eli/dir/2022/2555/oj/eng</x:v>
      </x:c>
      <x:c r="U71" s="17" t="str"/>
    </x:row>
    <x:row r="72" ht="72" customHeight="1">
      <x:c r="A72" s="17" t="str">
        <x:v>CYR-071</x:v>
      </x:c>
      <x:c r="B72" s="17" t="str">
        <x:v>NIS2 Art.21 Cybersecurity Risk Management</x:v>
      </x:c>
      <x:c r="C72" s="17" t="str">
        <x:v>Application Security &amp; Secure Development</x:v>
      </x:c>
      <x:c r="D72" s="17" t="str">
        <x:v>Applications are developed without security requirements</x:v>
      </x:c>
      <x:c r="E72" s="17" t="str">
        <x:v>Applications are developed without security requirements may affect the confidentiality, integrity, availability or resilience of critical services and network and information systems.</x:v>
      </x:c>
      <x:c r="F72" s="17" t="str">
        <x:v>Vulnerable systems and missed security controls during design.</x:v>
      </x:c>
      <x:c r="G72" s="17" t="str">
        <x:v>Art.21(2)(e) security in network and information systems acquisition, development and maintenance, including vulnerability handling and disclosure</x:v>
      </x:c>
      <x:c r="H72" s="17" t="str">
        <x:v>Applications, APIs, source code, CI/CD, software components, development environments</x:v>
      </x:c>
      <x:c r="I72" s="17" t="str">
        <x:v>Medium</x:v>
      </x:c>
      <x:c r="J72" s="17" t="str">
        <x:v>High</x:v>
      </x:c>
      <x:c r="K72" s="17" t="str">
        <x:v>High</x:v>
      </x:c>
      <x:c r="L72" s="17" t="str">
        <x:v>Mitigate</x:v>
      </x:c>
      <x:c r="M72" s="17" t="str">
        <x:v>Integrate cybersecurity requirements into the software development lifecycle.</x:v>
      </x:c>
      <x:c r="N72" s="17" t="str">
        <x:v>Secure SDLC, security requirements, threat modeling, design review</x:v>
      </x:c>
      <x:c r="O72" s="17" t="str">
        <x:v>SDLC policy; security requirements; threat models; design review records</x:v>
      </x:c>
      <x:c r="P72" s="17" t="str">
        <x:v>Application Security Lead</x:v>
      </x:c>
      <x:c r="Q72" s="17" t="str">
        <x:v>Quarterly</x:v>
      </x:c>
      <x:c r="R72" s="17" t="str">
        <x:v>NIS2; Secure SDLC; Security requirements</x:v>
      </x:c>
      <x:c r="S72" s="17" t="str">
        <x:v>Not Assessed</x:v>
      </x:c>
      <x:c r="T72" s="17" t="str">
        <x:v>https://eur-lex.europa.eu/eli/dir/2022/2555/oj/eng</x:v>
      </x:c>
      <x:c r="U72" s="17" t="str"/>
    </x:row>
    <x:row r="73" ht="72" customHeight="1">
      <x:c r="A73" s="17" t="str">
        <x:v>CYR-072</x:v>
      </x:c>
      <x:c r="B73" s="17" t="str">
        <x:v>NIS2 Art.21 Cybersecurity Risk Management</x:v>
      </x:c>
      <x:c r="C73" s="17" t="str">
        <x:v>Application Security &amp; Secure Development</x:v>
      </x:c>
      <x:c r="D73" s="17" t="str">
        <x:v>Code is deployed without security testing</x:v>
      </x:c>
      <x:c r="E73" s="17" t="str">
        <x:v>Code is deployed without security testing may affect the confidentiality, integrity, availability or resilience of critical services and network and information systems.</x:v>
      </x:c>
      <x:c r="F73" s="17" t="str">
        <x:v>Exploitable application flaws are released to production.</x:v>
      </x:c>
      <x:c r="G73" s="17" t="str">
        <x:v>Art.21(2)(e) security in network and information systems acquisition, development and maintenance, including vulnerability handling and disclosure</x:v>
      </x:c>
      <x:c r="H73" s="17" t="str">
        <x:v>Source code, web applications, APIs, production deployments</x:v>
      </x:c>
      <x:c r="I73" s="17" t="str">
        <x:v>Medium</x:v>
      </x:c>
      <x:c r="J73" s="17" t="str">
        <x:v>High</x:v>
      </x:c>
      <x:c r="K73" s="17" t="str">
        <x:v>High</x:v>
      </x:c>
      <x:c r="L73" s="17" t="str">
        <x:v>Mitigate</x:v>
      </x:c>
      <x:c r="M73" s="17" t="str">
        <x:v>Use SAST, DAST, code review and penetration testing before release.</x:v>
      </x:c>
      <x:c r="N73" s="17" t="str">
        <x:v>SAST/DAST, manual code review, release gates, penetration testing</x:v>
      </x:c>
      <x:c r="O73" s="17" t="str">
        <x:v>SAST/DAST reports; code review records; release approvals; pentest reports</x:v>
      </x:c>
      <x:c r="P73" s="17" t="str">
        <x:v>Application Security Lead / Engineering</x:v>
      </x:c>
      <x:c r="Q73" s="17" t="str">
        <x:v>Quarterly</x:v>
      </x:c>
      <x:c r="R73" s="17" t="str">
        <x:v>NIS2; Security testing; Secure development</x:v>
      </x:c>
      <x:c r="S73" s="17" t="str">
        <x:v>Not Assessed</x:v>
      </x:c>
      <x:c r="T73" s="17" t="str">
        <x:v>https://eur-lex.europa.eu/eli/dir/2022/2555/oj/eng</x:v>
      </x:c>
      <x:c r="U73" s="17" t="str"/>
    </x:row>
    <x:row r="74" ht="72" customHeight="1">
      <x:c r="A74" s="17" t="str">
        <x:v>CYR-073</x:v>
      </x:c>
      <x:c r="B74" s="17" t="str">
        <x:v>NIS2 Art.21 Cybersecurity Risk Management</x:v>
      </x:c>
      <x:c r="C74" s="17" t="str">
        <x:v>Application Security &amp; Secure Development</x:v>
      </x:c>
      <x:c r="D74" s="17" t="str">
        <x:v>Vulnerable open-source components</x:v>
      </x:c>
      <x:c r="E74" s="17" t="str">
        <x:v>Vulnerable open-source components may affect the confidentiality, integrity, availability or resilience of critical services and network and information systems.</x:v>
      </x:c>
      <x:c r="F74" s="17" t="str">
        <x:v>Compromise through known CVEs in third-party libraries.</x:v>
      </x:c>
      <x:c r="G74" s="17" t="str">
        <x:v>Art.21(2)(e) security in network and information systems acquisition, development and maintenance, including vulnerability handling and disclosure</x:v>
      </x:c>
      <x:c r="H74" s="17" t="str">
        <x:v>Open-source libraries, packages, containers, software dependencies</x:v>
      </x:c>
      <x:c r="I74" s="17" t="str">
        <x:v>Medium</x:v>
      </x:c>
      <x:c r="J74" s="17" t="str">
        <x:v>High</x:v>
      </x:c>
      <x:c r="K74" s="17" t="str">
        <x:v>High</x:v>
      </x:c>
      <x:c r="L74" s="17" t="str">
        <x:v>Mitigate</x:v>
      </x:c>
      <x:c r="M74" s="17" t="str">
        <x:v>Use software composition analysis and dependency update processes.</x:v>
      </x:c>
      <x:c r="N74" s="17" t="str">
        <x:v>SCA, dependency management, CVE triage, SBOM</x:v>
      </x:c>
      <x:c r="O74" s="17" t="str">
        <x:v>SCA reports; dependency inventory; remediation tickets; SBOM</x:v>
      </x:c>
      <x:c r="P74" s="17" t="str">
        <x:v>Application Security Lead</x:v>
      </x:c>
      <x:c r="Q74" s="17" t="str">
        <x:v>Quarterly</x:v>
      </x:c>
      <x:c r="R74" s="17" t="str">
        <x:v>NIS2; Open source; Vulnerability management</x:v>
      </x:c>
      <x:c r="S74" s="17" t="str">
        <x:v>Not Assessed</x:v>
      </x:c>
      <x:c r="T74" s="17" t="str">
        <x:v>https://eur-lex.europa.eu/eli/dir/2022/2555/oj/eng</x:v>
      </x:c>
      <x:c r="U74" s="17" t="str"/>
    </x:row>
    <x:row r="75" ht="72" customHeight="1">
      <x:c r="A75" s="17" t="str">
        <x:v>CYR-074</x:v>
      </x:c>
      <x:c r="B75" s="17" t="str">
        <x:v>NIS2 Art.21 Cybersecurity Risk Management</x:v>
      </x:c>
      <x:c r="C75" s="17" t="str">
        <x:v>Application Security &amp; Secure Development</x:v>
      </x:c>
      <x:c r="D75" s="17" t="str">
        <x:v>No vulnerability disclosure process</x:v>
      </x:c>
      <x:c r="E75" s="17" t="str">
        <x:v>No vulnerability disclosure process may affect the confidentiality, integrity, availability or resilience of critical services and network and information systems.</x:v>
      </x:c>
      <x:c r="F75" s="17" t="str">
        <x:v>Externally discovered vulnerabilities remain unmanaged or mishandled.</x:v>
      </x:c>
      <x:c r="G75" s="17" t="str">
        <x:v>Art.21(2)(e) security in network and information systems acquisition, development and maintenance, including vulnerability handling and disclosure</x:v>
      </x:c>
      <x:c r="H75" s="17" t="str">
        <x:v>External researchers, product teams, security mailbox, vulnerability tickets</x:v>
      </x:c>
      <x:c r="I75" s="17" t="str">
        <x:v>Medium</x:v>
      </x:c>
      <x:c r="J75" s="17" t="str">
        <x:v>High</x:v>
      </x:c>
      <x:c r="K75" s="17" t="str">
        <x:v>Medium</x:v>
      </x:c>
      <x:c r="L75" s="17" t="str">
        <x:v>Mitigate</x:v>
      </x:c>
      <x:c r="M75" s="17" t="str">
        <x:v>Establish a vulnerability disclosure and coordinated response process.</x:v>
      </x:c>
      <x:c r="N75" s="17" t="str">
        <x:v>Vulnerability disclosure policy, security contact, triage workflow, remediation SLA</x:v>
      </x:c>
      <x:c r="O75" s="17" t="str">
        <x:v>Disclosure policy; intake records; vulnerability tickets; response logs</x:v>
      </x:c>
      <x:c r="P75" s="17" t="str">
        <x:v>CISO / Application Security Lead</x:v>
      </x:c>
      <x:c r="Q75" s="17" t="str">
        <x:v>Quarterly</x:v>
      </x:c>
      <x:c r="R75" s="17" t="str">
        <x:v>NIS2; Vulnerability disclosure; Triage</x:v>
      </x:c>
      <x:c r="S75" s="17" t="str">
        <x:v>Not Assessed</x:v>
      </x:c>
      <x:c r="T75" s="17" t="str">
        <x:v>https://eur-lex.europa.eu/eli/dir/2022/2555/oj/eng</x:v>
      </x:c>
      <x:c r="U75" s="17" t="str"/>
    </x:row>
    <x:row r="76" ht="72" customHeight="1">
      <x:c r="A76" s="17" t="str">
        <x:v>CYR-075</x:v>
      </x:c>
      <x:c r="B76" s="17" t="str">
        <x:v>NIS2 Art.21 Cybersecurity Risk Management</x:v>
      </x:c>
      <x:c r="C76" s="17" t="str">
        <x:v>Application Security &amp; Secure Development</x:v>
      </x:c>
      <x:c r="D76" s="17" t="str">
        <x:v>Weak API authentication</x:v>
      </x:c>
      <x:c r="E76" s="17" t="str">
        <x:v>Weak API authentication may affect the confidentiality, integrity, availability or resilience of critical services and network and information systems.</x:v>
      </x:c>
      <x:c r="F76" s="17" t="str">
        <x:v>Unauthorized access to data or services through exposed APIs.</x:v>
      </x:c>
      <x:c r="G76" s="17" t="str">
        <x:v>Art.21(2)(e) secure development; Art.21(2)(j) MFA/secured communications; Art.21(2)(i) access control</x:v>
      </x:c>
      <x:c r="H76" s="17" t="str">
        <x:v>APIs, integration services, customer portals, mobile backends</x:v>
      </x:c>
      <x:c r="I76" s="17" t="str">
        <x:v>Medium</x:v>
      </x:c>
      <x:c r="J76" s="17" t="str">
        <x:v>High</x:v>
      </x:c>
      <x:c r="K76" s="17" t="str">
        <x:v>Critical</x:v>
      </x:c>
      <x:c r="L76" s="17" t="str">
        <x:v>Mitigate</x:v>
      </x:c>
      <x:c r="M76" s="17" t="str">
        <x:v>Secure APIs with strong authentication, authorization, throttling and logging.</x:v>
      </x:c>
      <x:c r="N76" s="17" t="str">
        <x:v>API authentication, authorization checks, rate limiting, API gateway, logging</x:v>
      </x:c>
      <x:c r="O76" s="17" t="str">
        <x:v>API security design; test reports; gateway policies; access logs</x:v>
      </x:c>
      <x:c r="P76" s="17" t="str">
        <x:v>Application Owner / API Owner</x:v>
      </x:c>
      <x:c r="Q76" s="17" t="str">
        <x:v>Quarterly</x:v>
      </x:c>
      <x:c r="R76" s="17" t="str">
        <x:v>NIS2; API security; Authentication</x:v>
      </x:c>
      <x:c r="S76" s="17" t="str">
        <x:v>Not Assessed</x:v>
      </x:c>
      <x:c r="T76" s="17" t="str">
        <x:v>https://eur-lex.europa.eu/eli/dir/2022/2555/oj/eng</x:v>
      </x:c>
      <x:c r="U76" s="17" t="str"/>
    </x:row>
    <x:row r="77" ht="72" customHeight="1">
      <x:c r="A77" s="17" t="str">
        <x:v>CYR-076</x:v>
      </x:c>
      <x:c r="B77" s="17" t="str">
        <x:v>NIS2 Art.21 Cybersecurity Risk Management</x:v>
      </x:c>
      <x:c r="C77" s="17" t="str">
        <x:v>Application Security &amp; Secure Development</x:v>
      </x:c>
      <x:c r="D77" s="17" t="str">
        <x:v>Poor change management</x:v>
      </x:c>
      <x:c r="E77" s="17" t="str">
        <x:v>Poor change management may affect the confidentiality, integrity, availability or resilience of critical services and network and information systems.</x:v>
      </x:c>
      <x:c r="F77" s="17" t="str">
        <x:v>Outages, insecure changes or unauthorized modifications to production systems.</x:v>
      </x:c>
      <x:c r="G77" s="17" t="str">
        <x:v>Art.21(2)(e) secure maintenance; Art.21(2)(f) effectiveness assessment</x:v>
      </x:c>
      <x:c r="H77" s="17" t="str">
        <x:v>Production systems, applications, network devices, cloud infrastructure</x:v>
      </x:c>
      <x:c r="I77" s="17" t="str">
        <x:v>Medium</x:v>
      </x:c>
      <x:c r="J77" s="17" t="str">
        <x:v>High</x:v>
      </x:c>
      <x:c r="K77" s="17" t="str">
        <x:v>High</x:v>
      </x:c>
      <x:c r="L77" s="17" t="str">
        <x:v>Mitigate</x:v>
      </x:c>
      <x:c r="M77" s="17" t="str">
        <x:v>Formalize change approval, testing and rollback procedures.</x:v>
      </x:c>
      <x:c r="N77" s="17" t="str">
        <x:v>Change management workflow, risk-based approvals, rollback plans, emergency change review</x:v>
      </x:c>
      <x:c r="O77" s="17" t="str">
        <x:v>Change tickets; approvals; test records; rollback plans; emergency change reviews</x:v>
      </x:c>
      <x:c r="P77" s="17" t="str">
        <x:v>IT Operations / Change Manager</x:v>
      </x:c>
      <x:c r="Q77" s="17" t="str">
        <x:v>Quarterly</x:v>
      </x:c>
      <x:c r="R77" s="17" t="str">
        <x:v>NIS2; Change management; Production security</x:v>
      </x:c>
      <x:c r="S77" s="17" t="str">
        <x:v>Not Assessed</x:v>
      </x:c>
      <x:c r="T77" s="17" t="str">
        <x:v>https://eur-lex.europa.eu/eli/dir/2022/2555/oj/eng</x:v>
      </x:c>
      <x:c r="U77" s="17" t="str"/>
    </x:row>
    <x:row r="78" ht="72" customHeight="1">
      <x:c r="A78" s="17" t="str">
        <x:v>CYR-077</x:v>
      </x:c>
      <x:c r="B78" s="17" t="str">
        <x:v>NIS2 Art.21 Cybersecurity Risk Management</x:v>
      </x:c>
      <x:c r="C78" s="17" t="str">
        <x:v>Application Security &amp; Secure Development</x:v>
      </x:c>
      <x:c r="D78" s="17" t="str">
        <x:v>Secrets stored in code repositories</x:v>
      </x:c>
      <x:c r="E78" s="17" t="str">
        <x:v>Secrets stored in code repositories may affect the confidentiality, integrity, availability or resilience of critical services and network and information systems.</x:v>
      </x:c>
      <x:c r="F78" s="17" t="str">
        <x:v>Credential theft and unauthorized access to systems, APIs or cloud services.</x:v>
      </x:c>
      <x:c r="G78" s="17" t="str">
        <x:v>Art.21(2)(e) security in network and information systems acquisition, development and maintenance, including vulnerability handling and disclosure</x:v>
      </x:c>
      <x:c r="H78" s="17" t="str">
        <x:v>Source repositories, CI/CD, API keys, cloud credentials, service accounts</x:v>
      </x:c>
      <x:c r="I78" s="17" t="str">
        <x:v>Medium</x:v>
      </x:c>
      <x:c r="J78" s="17" t="str">
        <x:v>High</x:v>
      </x:c>
      <x:c r="K78" s="17" t="str">
        <x:v>Critical</x:v>
      </x:c>
      <x:c r="L78" s="17" t="str">
        <x:v>Mitigate</x:v>
      </x:c>
      <x:c r="M78" s="17" t="str">
        <x:v>Use secrets management and prevent secrets from being committed to repositories.</x:v>
      </x:c>
      <x:c r="N78" s="17" t="str">
        <x:v>Secrets scanning, secrets vault, token rotation, repository protections</x:v>
      </x:c>
      <x:c r="O78" s="17" t="str">
        <x:v>Secrets scan reports; vault configuration; rotated credential records</x:v>
      </x:c>
      <x:c r="P78" s="17" t="str">
        <x:v>Engineering / Application Security</x:v>
      </x:c>
      <x:c r="Q78" s="17" t="str">
        <x:v>Quarterly</x:v>
      </x:c>
      <x:c r="R78" s="17" t="str">
        <x:v>NIS2; Secrets management; DevSecOps</x:v>
      </x:c>
      <x:c r="S78" s="17" t="str">
        <x:v>Not Assessed</x:v>
      </x:c>
      <x:c r="T78" s="17" t="str">
        <x:v>https://eur-lex.europa.eu/eli/dir/2022/2555/oj/eng</x:v>
      </x:c>
      <x:c r="U78" s="17" t="str"/>
    </x:row>
    <x:row r="79" ht="72" customHeight="1">
      <x:c r="A79" s="17" t="str">
        <x:v>CYR-078</x:v>
      </x:c>
      <x:c r="B79" s="17" t="str">
        <x:v>NIS2 Art.21 Cybersecurity Risk Management</x:v>
      </x:c>
      <x:c r="C79" s="17" t="str">
        <x:v>Application Security &amp; Secure Development</x:v>
      </x:c>
      <x:c r="D79" s="17" t="str">
        <x:v>Insecure CI/CD pipeline</x:v>
      </x:c>
      <x:c r="E79" s="17" t="str">
        <x:v>Insecure CI/CD pipeline may affect the confidentiality, integrity, availability or resilience of critical services and network and information systems.</x:v>
      </x:c>
      <x:c r="F79" s="17" t="str">
        <x:v>Malicious or vulnerable code may be built and deployed to production.</x:v>
      </x:c>
      <x:c r="G79" s="17" t="str">
        <x:v>Art.21(2)(e) security in network and information systems acquisition, development and maintenance, including vulnerability handling and disclosure</x:v>
      </x:c>
      <x:c r="H79" s="17" t="str">
        <x:v>CI/CD tools, build agents, deployment credentials, code repositories</x:v>
      </x:c>
      <x:c r="I79" s="17" t="str">
        <x:v>Medium</x:v>
      </x:c>
      <x:c r="J79" s="17" t="str">
        <x:v>High</x:v>
      </x:c>
      <x:c r="K79" s="17" t="str">
        <x:v>Critical</x:v>
      </x:c>
      <x:c r="L79" s="17" t="str">
        <x:v>Mitigate</x:v>
      </x:c>
      <x:c r="M79" s="17" t="str">
        <x:v>Secure build and deployment pipelines with least privilege, signing and approvals.</x:v>
      </x:c>
      <x:c r="N79" s="17" t="str">
        <x:v>CI/CD hardening, branch protection, artifact signing, build isolation, approvals</x:v>
      </x:c>
      <x:c r="O79" s="17" t="str">
        <x:v>CI/CD configuration; branch protection settings; build logs; access reviews</x:v>
      </x:c>
      <x:c r="P79" s="17" t="str">
        <x:v>DevOps Lead / Application Security</x:v>
      </x:c>
      <x:c r="Q79" s="17" t="str">
        <x:v>Quarterly</x:v>
      </x:c>
      <x:c r="R79" s="17" t="str">
        <x:v>NIS2; CI/CD security; Software supply chain</x:v>
      </x:c>
      <x:c r="S79" s="17" t="str">
        <x:v>Not Assessed</x:v>
      </x:c>
      <x:c r="T79" s="17" t="str">
        <x:v>https://eur-lex.europa.eu/eli/dir/2022/2555/oj/eng</x:v>
      </x:c>
      <x:c r="U79" s="17" t="str"/>
    </x:row>
    <x:row r="80" ht="72" customHeight="1">
      <x:c r="A80" s="17" t="str">
        <x:v>CYR-079</x:v>
      </x:c>
      <x:c r="B80" s="17" t="str">
        <x:v>NIS2 Art.21 Cybersecurity Risk Management</x:v>
      </x:c>
      <x:c r="C80" s="17" t="str">
        <x:v>Application Security &amp; Secure Development</x:v>
      </x:c>
      <x:c r="D80" s="17" t="str">
        <x:v>Lack of environment segregation</x:v>
      </x:c>
      <x:c r="E80" s="17" t="str">
        <x:v>Lack of environment segregation may affect the confidentiality, integrity, availability or resilience of critical services and network and information systems.</x:v>
      </x:c>
      <x:c r="F80" s="17" t="str">
        <x:v>Testing or development activity impacts production or exposes production data.</x:v>
      </x:c>
      <x:c r="G80" s="17" t="str">
        <x:v>Art.21(2)(e) security in network and information systems acquisition, development and maintenance, including vulnerability handling and disclosure</x:v>
      </x:c>
      <x:c r="H80" s="17" t="str">
        <x:v>Development environments, test systems, production systems, data sets</x:v>
      </x:c>
      <x:c r="I80" s="17" t="str">
        <x:v>Medium</x:v>
      </x:c>
      <x:c r="J80" s="17" t="str">
        <x:v>High</x:v>
      </x:c>
      <x:c r="K80" s="17" t="str">
        <x:v>High</x:v>
      </x:c>
      <x:c r="L80" s="17" t="str">
        <x:v>Mitigate</x:v>
      </x:c>
      <x:c r="M80" s="17" t="str">
        <x:v>Separate development, test and production environments with distinct access controls.</x:v>
      </x:c>
      <x:c r="N80" s="17" t="str">
        <x:v>Environment segregation, production data masking, access separation, deployment controls</x:v>
      </x:c>
      <x:c r="O80" s="17" t="str">
        <x:v>Environment architecture; access matrices; data masking records</x:v>
      </x:c>
      <x:c r="P80" s="17" t="str">
        <x:v>Engineering / IT Operations</x:v>
      </x:c>
      <x:c r="Q80" s="17" t="str">
        <x:v>Quarterly</x:v>
      </x:c>
      <x:c r="R80" s="17" t="str">
        <x:v>NIS2; Environment segregation; Production security</x:v>
      </x:c>
      <x:c r="S80" s="17" t="str">
        <x:v>Not Assessed</x:v>
      </x:c>
      <x:c r="T80" s="17" t="str">
        <x:v>https://eur-lex.europa.eu/eli/dir/2022/2555/oj/eng</x:v>
      </x:c>
      <x:c r="U80" s="17" t="str"/>
    </x:row>
    <x:row r="81" ht="72" customHeight="1">
      <x:c r="A81" s="17" t="str">
        <x:v>CYR-080</x:v>
      </x:c>
      <x:c r="B81" s="17" t="str">
        <x:v>NIS2 Art.21 Cybersecurity Risk Management</x:v>
      </x:c>
      <x:c r="C81" s="17" t="str">
        <x:v>Application Security &amp; Secure Development</x:v>
      </x:c>
      <x:c r="D81" s="17" t="str">
        <x:v>Uncontrolled software acquisition</x:v>
      </x:c>
      <x:c r="E81" s="17" t="str">
        <x:v>Uncontrolled software acquisition may affect the confidentiality, integrity, availability or resilience of critical services and network and information systems.</x:v>
      </x:c>
      <x:c r="F81" s="17" t="str">
        <x:v>Shadow IT, unsupported tools and unassessed security exposure.</x:v>
      </x:c>
      <x:c r="G81" s="17" t="str">
        <x:v>Art.21(2)(e) secure acquisition; Art.21(2)(d) supply-chain security; Art.21(2)(i) asset management</x:v>
      </x:c>
      <x:c r="H81" s="17" t="str">
        <x:v>SaaS, desktop software, business applications, open-source tools</x:v>
      </x:c>
      <x:c r="I81" s="17" t="str">
        <x:v>Medium</x:v>
      </x:c>
      <x:c r="J81" s="17" t="str">
        <x:v>High</x:v>
      </x:c>
      <x:c r="K81" s="17" t="str">
        <x:v>Medium</x:v>
      </x:c>
      <x:c r="L81" s="17" t="str">
        <x:v>Mitigate</x:v>
      </x:c>
      <x:c r="M81" s="17" t="str">
        <x:v>Approve, inventory and risk-assess software before acquisition and use.</x:v>
      </x:c>
      <x:c r="N81" s="17" t="str">
        <x:v>Software approval process, SaaS inventory, security assessment, procurement gates</x:v>
      </x:c>
      <x:c r="O81" s="17" t="str">
        <x:v>Approved software list; procurement records; SaaS inventory; risk assessments</x:v>
      </x:c>
      <x:c r="P81" s="17" t="str">
        <x:v>Procurement / IT Asset Manager</x:v>
      </x:c>
      <x:c r="Q81" s="17" t="str">
        <x:v>Quarterly</x:v>
      </x:c>
      <x:c r="R81" s="17" t="str">
        <x:v>NIS2; Software acquisition; Shadow IT</x:v>
      </x:c>
      <x:c r="S81" s="17" t="str">
        <x:v>Not Assessed</x:v>
      </x:c>
      <x:c r="T81" s="17" t="str">
        <x:v>https://eur-lex.europa.eu/eli/dir/2022/2555/oj/eng</x:v>
      </x:c>
      <x:c r="U81" s="17" t="str"/>
    </x:row>
    <x:row r="82" ht="72" customHeight="1">
      <x:c r="A82" s="17" t="str">
        <x:v>CYR-081</x:v>
      </x:c>
      <x:c r="B82" s="17" t="str">
        <x:v>NIS2 Art.21 Cybersecurity Risk Management</x:v>
      </x:c>
      <x:c r="C82" s="17" t="str">
        <x:v>Human Factors, Awareness &amp; Insider Risk</x:v>
      </x:c>
      <x:c r="D82" s="17" t="str">
        <x:v>Phishing attacks compromise users</x:v>
      </x:c>
      <x:c r="E82" s="17" t="str">
        <x:v>Phishing attacks compromise users may affect the confidentiality, integrity, availability or resilience of critical services and network and information systems.</x:v>
      </x:c>
      <x:c r="F82" s="17" t="str">
        <x:v>Credential theft, malware infection or unauthorized access to business systems.</x:v>
      </x:c>
      <x:c r="G82" s="17" t="str">
        <x:v>Art.21(2)(g) basic cyber hygiene and cybersecurity training; Art.21(2)(i) HR security and access control</x:v>
      </x:c>
      <x:c r="H82" s="17" t="str">
        <x:v>Employees, contractors, helpdesk, privileged users, endpoints, collaboration tools</x:v>
      </x:c>
      <x:c r="I82" s="17" t="str">
        <x:v>High</x:v>
      </x:c>
      <x:c r="J82" s="17" t="str">
        <x:v>High</x:v>
      </x:c>
      <x:c r="K82" s="17" t="str">
        <x:v>Critical</x:v>
      </x:c>
      <x:c r="L82" s="17" t="str">
        <x:v>Mitigate</x:v>
      </x:c>
      <x:c r="M82" s="17" t="str">
        <x:v>Run awareness training, phishing simulations and email security controls.</x:v>
      </x:c>
      <x:c r="N82" s="17" t="str">
        <x:v>Email security, phishing simulations, user reporting button, awareness training</x:v>
      </x:c>
      <x:c r="O82" s="17" t="str">
        <x:v>Training records; phishing simulation results; email security settings; reported phishing logs</x:v>
      </x:c>
      <x:c r="P82" s="17" t="str">
        <x:v>Security Awareness Lead / SOC Manager</x:v>
      </x:c>
      <x:c r="Q82" s="17" t="str">
        <x:v>Quarterly</x:v>
      </x:c>
      <x:c r="R82" s="17" t="str">
        <x:v>NIS2; Phishing; Awareness</x:v>
      </x:c>
      <x:c r="S82" s="17" t="str">
        <x:v>Not Assessed</x:v>
      </x:c>
      <x:c r="T82" s="17" t="str">
        <x:v>https://eur-lex.europa.eu/eli/dir/2022/2555/oj/eng</x:v>
      </x:c>
      <x:c r="U82" s="17" t="str"/>
    </x:row>
    <x:row r="83" ht="72" customHeight="1">
      <x:c r="A83" s="17" t="str">
        <x:v>CYR-082</x:v>
      </x:c>
      <x:c r="B83" s="17" t="str">
        <x:v>NIS2 Art.21 Cybersecurity Risk Management</x:v>
      </x:c>
      <x:c r="C83" s="17" t="str">
        <x:v>Human Factors, Awareness &amp; Insider Risk</x:v>
      </x:c>
      <x:c r="D83" s="17" t="str">
        <x:v>Social engineering against helpdesk</x:v>
      </x:c>
      <x:c r="E83" s="17" t="str">
        <x:v>Social engineering against helpdesk may affect the confidentiality, integrity, availability or resilience of critical services and network and information systems.</x:v>
      </x:c>
      <x:c r="F83" s="17" t="str">
        <x:v>Account takeover through fraudulent reset or support requests.</x:v>
      </x:c>
      <x:c r="G83" s="17" t="str">
        <x:v>Art.21(2)(g) basic cyber hygiene and cybersecurity training; Art.21(2)(i) HR security and access control</x:v>
      </x:c>
      <x:c r="H83" s="17" t="str">
        <x:v>Helpdesk, IAM, password reset, privileged users</x:v>
      </x:c>
      <x:c r="I83" s="17" t="str">
        <x:v>Medium</x:v>
      </x:c>
      <x:c r="J83" s="17" t="str">
        <x:v>High</x:v>
      </x:c>
      <x:c r="K83" s="17" t="str">
        <x:v>High</x:v>
      </x:c>
      <x:c r="L83" s="17" t="str">
        <x:v>Mitigate</x:v>
      </x:c>
      <x:c r="M83" s="17" t="str">
        <x:v>Strengthen helpdesk identity verification and high-risk request approvals.</x:v>
      </x:c>
      <x:c r="N83" s="17" t="str">
        <x:v>Identity verification scripts, callback procedures, MFA reset approvals, helpdesk training</x:v>
      </x:c>
      <x:c r="O83" s="17" t="str">
        <x:v>Helpdesk procedure; ticket samples; training records; reset approval logs</x:v>
      </x:c>
      <x:c r="P83" s="17" t="str">
        <x:v>Service Desk Manager / IAM Owner</x:v>
      </x:c>
      <x:c r="Q83" s="17" t="str">
        <x:v>Quarterly</x:v>
      </x:c>
      <x:c r="R83" s="17" t="str">
        <x:v>NIS2; Social engineering; Helpdesk</x:v>
      </x:c>
      <x:c r="S83" s="17" t="str">
        <x:v>Not Assessed</x:v>
      </x:c>
      <x:c r="T83" s="17" t="str">
        <x:v>https://eur-lex.europa.eu/eli/dir/2022/2555/oj/eng</x:v>
      </x:c>
      <x:c r="U83" s="17" t="str"/>
    </x:row>
    <x:row r="84" ht="72" customHeight="1">
      <x:c r="A84" s="17" t="str">
        <x:v>CYR-083</x:v>
      </x:c>
      <x:c r="B84" s="17" t="str">
        <x:v>NIS2 Art.21 Cybersecurity Risk Management</x:v>
      </x:c>
      <x:c r="C84" s="17" t="str">
        <x:v>Human Factors, Awareness &amp; Insider Risk</x:v>
      </x:c>
      <x:c r="D84" s="17" t="str">
        <x:v>Employees lack cyber hygiene training</x:v>
      </x:c>
      <x:c r="E84" s="17" t="str">
        <x:v>Employees lack cyber hygiene training may affect the confidentiality, integrity, availability or resilience of critical services and network and information systems.</x:v>
      </x:c>
      <x:c r="F84" s="17" t="str">
        <x:v>Increased human-error incidents and policy non-compliance.</x:v>
      </x:c>
      <x:c r="G84" s="17" t="str">
        <x:v>Art.21(2)(g) basic cyber hygiene and cybersecurity training; Art.21(2)(i) HR security and access control</x:v>
      </x:c>
      <x:c r="H84" s="17" t="str">
        <x:v>Employees, contractors, privileged users, business process owners</x:v>
      </x:c>
      <x:c r="I84" s="17" t="str">
        <x:v>Medium</x:v>
      </x:c>
      <x:c r="J84" s="17" t="str">
        <x:v>High</x:v>
      </x:c>
      <x:c r="K84" s="17" t="str">
        <x:v>High</x:v>
      </x:c>
      <x:c r="L84" s="17" t="str">
        <x:v>Mitigate</x:v>
      </x:c>
      <x:c r="M84" s="17" t="str">
        <x:v>Conduct periodic cybersecurity training and role-specific education.</x:v>
      </x:c>
      <x:c r="N84" s="17" t="str">
        <x:v>Annual training, role-specific training, training completion tracking, policy awareness</x:v>
      </x:c>
      <x:c r="O84" s="17" t="str">
        <x:v>Training plan; completion reports; training materials; attendance logs</x:v>
      </x:c>
      <x:c r="P84" s="17" t="str">
        <x:v>Security Awareness Lead / HR</x:v>
      </x:c>
      <x:c r="Q84" s="17" t="str">
        <x:v>Quarterly</x:v>
      </x:c>
      <x:c r="R84" s="17" t="str">
        <x:v>NIS2; Training; Cyber hygiene</x:v>
      </x:c>
      <x:c r="S84" s="17" t="str">
        <x:v>Not Assessed</x:v>
      </x:c>
      <x:c r="T84" s="17" t="str">
        <x:v>https://eur-lex.europa.eu/eli/dir/2022/2555/oj/eng</x:v>
      </x:c>
      <x:c r="U84" s="17" t="str"/>
    </x:row>
    <x:row r="85" ht="72" customHeight="1">
      <x:c r="A85" s="17" t="str">
        <x:v>CYR-084</x:v>
      </x:c>
      <x:c r="B85" s="17" t="str">
        <x:v>NIS2 Art.21 Cybersecurity Risk Management</x:v>
      </x:c>
      <x:c r="C85" s="17" t="str">
        <x:v>Human Factors, Awareness &amp; Insider Risk</x:v>
      </x:c>
      <x:c r="D85" s="17" t="str">
        <x:v>Malicious insider activity</x:v>
      </x:c>
      <x:c r="E85" s="17" t="str">
        <x:v>Malicious insider activity may affect the confidentiality, integrity, availability or resilience of critical services and network and information systems.</x:v>
      </x:c>
      <x:c r="F85" s="17" t="str">
        <x:v>Data theft, sabotage, fraud or unauthorized disclosure.</x:v>
      </x:c>
      <x:c r="G85" s="17" t="str">
        <x:v>Art.21(2)(g) basic cyber hygiene and cybersecurity training; Art.21(2)(i) HR security and access control</x:v>
      </x:c>
      <x:c r="H85" s="17" t="str">
        <x:v>Employees, contractors, privileged accounts, sensitive data</x:v>
      </x:c>
      <x:c r="I85" s="17" t="str">
        <x:v>Medium</x:v>
      </x:c>
      <x:c r="J85" s="17" t="str">
        <x:v>High</x:v>
      </x:c>
      <x:c r="K85" s="17" t="str">
        <x:v>High</x:v>
      </x:c>
      <x:c r="L85" s="17" t="str">
        <x:v>Mitigate</x:v>
      </x:c>
      <x:c r="M85" s="17" t="str">
        <x:v>Monitor privileged activity, enforce segregation of duties and apply HR security controls.</x:v>
      </x:c>
      <x:c r="N85" s="17" t="str">
        <x:v>Insider risk monitoring, SoD, privileged monitoring, exit controls</x:v>
      </x:c>
      <x:c r="O85" s="17" t="str">
        <x:v>Monitoring alerts; SoD matrix; access reviews; HR procedures</x:v>
      </x:c>
      <x:c r="P85" s="17" t="str">
        <x:v>HR / CISO</x:v>
      </x:c>
      <x:c r="Q85" s="17" t="str">
        <x:v>Quarterly</x:v>
      </x:c>
      <x:c r="R85" s="17" t="str">
        <x:v>NIS2; Insider risk; Monitoring</x:v>
      </x:c>
      <x:c r="S85" s="17" t="str">
        <x:v>Not Assessed</x:v>
      </x:c>
      <x:c r="T85" s="17" t="str">
        <x:v>https://eur-lex.europa.eu/eli/dir/2022/2555/oj/eng</x:v>
      </x:c>
      <x:c r="U85" s="17" t="str"/>
    </x:row>
    <x:row r="86" ht="72" customHeight="1">
      <x:c r="A86" s="17" t="str">
        <x:v>CYR-085</x:v>
      </x:c>
      <x:c r="B86" s="17" t="str">
        <x:v>NIS2 Art.21 Cybersecurity Risk Management</x:v>
      </x:c>
      <x:c r="C86" s="17" t="str">
        <x:v>Human Factors, Awareness &amp; Insider Risk</x:v>
      </x:c>
      <x:c r="D86" s="17" t="str">
        <x:v>Accidental data disclosure</x:v>
      </x:c>
      <x:c r="E86" s="17" t="str">
        <x:v>Accidental data disclosure may affect the confidentiality, integrity, availability or resilience of critical services and network and information systems.</x:v>
      </x:c>
      <x:c r="F86" s="17" t="str">
        <x:v>Confidentiality breach caused by user error or misdirected communication.</x:v>
      </x:c>
      <x:c r="G86" s="17" t="str">
        <x:v>Art.21(2)(g) basic cyber hygiene and cybersecurity training; Art.21(2)(i) HR security and access control</x:v>
      </x:c>
      <x:c r="H86" s="17" t="str">
        <x:v>Email, cloud sharing, documents, customer data</x:v>
      </x:c>
      <x:c r="I86" s="17" t="str">
        <x:v>Medium</x:v>
      </x:c>
      <x:c r="J86" s="17" t="str">
        <x:v>High</x:v>
      </x:c>
      <x:c r="K86" s="17" t="str">
        <x:v>High</x:v>
      </x:c>
      <x:c r="L86" s="17" t="str">
        <x:v>Mitigate</x:v>
      </x:c>
      <x:c r="M86" s="17" t="str">
        <x:v>Train users and apply DLP and secure sharing controls.</x:v>
      </x:c>
      <x:c r="N86" s="17" t="str">
        <x:v>DLP, user training, secure sharing rules, classification labels</x:v>
      </x:c>
      <x:c r="O86" s="17" t="str">
        <x:v>DLP incidents; training records; classification policy; sharing reports</x:v>
      </x:c>
      <x:c r="P86" s="17" t="str">
        <x:v>Data Protection Officer / CISO</x:v>
      </x:c>
      <x:c r="Q86" s="17" t="str">
        <x:v>Quarterly</x:v>
      </x:c>
      <x:c r="R86" s="17" t="str">
        <x:v>NIS2; Data disclosure; Awareness</x:v>
      </x:c>
      <x:c r="S86" s="17" t="str">
        <x:v>Not Assessed</x:v>
      </x:c>
      <x:c r="T86" s="17" t="str">
        <x:v>https://eur-lex.europa.eu/eli/dir/2022/2555/oj/eng</x:v>
      </x:c>
      <x:c r="U86" s="17" t="str"/>
    </x:row>
    <x:row r="87" ht="72" customHeight="1">
      <x:c r="A87" s="17" t="str">
        <x:v>CYR-086</x:v>
      </x:c>
      <x:c r="B87" s="17" t="str">
        <x:v>NIS2 Art.21 Cybersecurity Risk Management</x:v>
      </x:c>
      <x:c r="C87" s="17" t="str">
        <x:v>Human Factors, Awareness &amp; Insider Risk</x:v>
      </x:c>
      <x:c r="D87" s="17" t="str">
        <x:v>Uncontrolled use of removable media</x:v>
      </x:c>
      <x:c r="E87" s="17" t="str">
        <x:v>Uncontrolled use of removable media may affect the confidentiality, integrity, availability or resilience of critical services and network and information systems.</x:v>
      </x:c>
      <x:c r="F87" s="17" t="str">
        <x:v>Malware introduction or data leakage through USB/removable devices.</x:v>
      </x:c>
      <x:c r="G87" s="17" t="str">
        <x:v>Art.21(2)(g) cyber hygiene; Art.21(2)(i) asset management and access control</x:v>
      </x:c>
      <x:c r="H87" s="17" t="str">
        <x:v>Endpoints, removable media, sensitive data, OT systems</x:v>
      </x:c>
      <x:c r="I87" s="17" t="str">
        <x:v>Medium</x:v>
      </x:c>
      <x:c r="J87" s="17" t="str">
        <x:v>High</x:v>
      </x:c>
      <x:c r="K87" s="17" t="str">
        <x:v>Medium</x:v>
      </x:c>
      <x:c r="L87" s="17" t="str">
        <x:v>Mitigate</x:v>
      </x:c>
      <x:c r="M87" s="17" t="str">
        <x:v>Restrict and monitor removable media use.</x:v>
      </x:c>
      <x:c r="N87" s="17" t="str">
        <x:v>USB control, media encryption, exception approvals, endpoint policy</x:v>
      </x:c>
      <x:c r="O87" s="17" t="str">
        <x:v>Endpoint policy; device control settings; exception register; DLP logs</x:v>
      </x:c>
      <x:c r="P87" s="17" t="str">
        <x:v>IT Security</x:v>
      </x:c>
      <x:c r="Q87" s="17" t="str">
        <x:v>Quarterly</x:v>
      </x:c>
      <x:c r="R87" s="17" t="str">
        <x:v>NIS2; Removable media; Endpoint control</x:v>
      </x:c>
      <x:c r="S87" s="17" t="str">
        <x:v>Not Assessed</x:v>
      </x:c>
      <x:c r="T87" s="17" t="str">
        <x:v>https://eur-lex.europa.eu/eli/dir/2022/2555/oj/eng</x:v>
      </x:c>
      <x:c r="U87" s="17" t="str"/>
    </x:row>
    <x:row r="88" ht="72" customHeight="1">
      <x:c r="A88" s="17" t="str">
        <x:v>CYR-087</x:v>
      </x:c>
      <x:c r="B88" s="17" t="str">
        <x:v>NIS2 Art.21 Cybersecurity Risk Management</x:v>
      </x:c>
      <x:c r="C88" s="17" t="str">
        <x:v>Human Factors, Awareness &amp; Insider Risk</x:v>
      </x:c>
      <x:c r="D88" s="17" t="str">
        <x:v>Use of personal devices without controls</x:v>
      </x:c>
      <x:c r="E88" s="17" t="str">
        <x:v>Use of personal devices without controls may affect the confidentiality, integrity, availability or resilience of critical services and network and information systems.</x:v>
      </x:c>
      <x:c r="F88" s="17" t="str">
        <x:v>Data exposure, malware infection or unmanaged access to business systems.</x:v>
      </x:c>
      <x:c r="G88" s="17" t="str">
        <x:v>Art.21(2)(g) cyber hygiene; Art.21(2)(i) access control; Art.21(2)(j) secured communications</x:v>
      </x:c>
      <x:c r="H88" s="17" t="str">
        <x:v>Mobile devices, laptops, cloud apps, remote access</x:v>
      </x:c>
      <x:c r="I88" s="17" t="str">
        <x:v>Medium</x:v>
      </x:c>
      <x:c r="J88" s="17" t="str">
        <x:v>High</x:v>
      </x:c>
      <x:c r="K88" s="17" t="str">
        <x:v>High</x:v>
      </x:c>
      <x:c r="L88" s="17" t="str">
        <x:v>Mitigate</x:v>
      </x:c>
      <x:c r="M88" s="17" t="str">
        <x:v>Implement BYOD/mobile device policy and device compliance controls.</x:v>
      </x:c>
      <x:c r="N88" s="17" t="str">
        <x:v>MDM, conditional access, BYOD policy, device encryption</x:v>
      </x:c>
      <x:c r="O88" s="17" t="str">
        <x:v>BYOD policy; MDM reports; conditional access settings; device inventory</x:v>
      </x:c>
      <x:c r="P88" s="17" t="str">
        <x:v>IT Security / IAM Owner</x:v>
      </x:c>
      <x:c r="Q88" s="17" t="str">
        <x:v>Quarterly</x:v>
      </x:c>
      <x:c r="R88" s="17" t="str">
        <x:v>NIS2; BYOD; Mobile security</x:v>
      </x:c>
      <x:c r="S88" s="17" t="str">
        <x:v>Not Assessed</x:v>
      </x:c>
      <x:c r="T88" s="17" t="str">
        <x:v>https://eur-lex.europa.eu/eli/dir/2022/2555/oj/eng</x:v>
      </x:c>
      <x:c r="U88" s="17" t="str"/>
    </x:row>
    <x:row r="89" ht="72" customHeight="1">
      <x:c r="A89" s="17" t="str">
        <x:v>CYR-088</x:v>
      </x:c>
      <x:c r="B89" s="17" t="str">
        <x:v>NIS2 Art.21 Cybersecurity Risk Management</x:v>
      </x:c>
      <x:c r="C89" s="17" t="str">
        <x:v>Human Factors, Awareness &amp; Insider Risk</x:v>
      </x:c>
      <x:c r="D89" s="17" t="str">
        <x:v>Poor security culture</x:v>
      </x:c>
      <x:c r="E89" s="17" t="str">
        <x:v>Poor security culture may affect the confidentiality, integrity, availability or resilience of critical services and network and information systems.</x:v>
      </x:c>
      <x:c r="F89" s="17" t="str">
        <x:v>Persistent policy non-compliance and low reporting of suspicious activity.</x:v>
      </x:c>
      <x:c r="G89" s="17" t="str">
        <x:v>Art.21(2)(g) basic cyber hygiene and cybersecurity training; Art.21(2)(i) HR security and access control</x:v>
      </x:c>
      <x:c r="H89" s="17" t="str">
        <x:v>Employees, management, business units, security awareness programme</x:v>
      </x:c>
      <x:c r="I89" s="17" t="str">
        <x:v>Medium</x:v>
      </x:c>
      <x:c r="J89" s="17" t="str">
        <x:v>High</x:v>
      </x:c>
      <x:c r="K89" s="17" t="str">
        <x:v>Medium</x:v>
      </x:c>
      <x:c r="L89" s="17" t="str">
        <x:v>Mitigate</x:v>
      </x:c>
      <x:c r="M89" s="17" t="str">
        <x:v>Run awareness campaigns and reinforce security expectations through management.</x:v>
      </x:c>
      <x:c r="N89" s="17" t="str">
        <x:v>Security culture campaigns, leadership communications, reporting channels, KPIs</x:v>
      </x:c>
      <x:c r="O89" s="17" t="str">
        <x:v>Awareness campaigns; survey results; reporting metrics; management communications</x:v>
      </x:c>
      <x:c r="P89" s="17" t="str">
        <x:v>CISO / Security Awareness Lead</x:v>
      </x:c>
      <x:c r="Q89" s="17" t="str">
        <x:v>Quarterly</x:v>
      </x:c>
      <x:c r="R89" s="17" t="str">
        <x:v>NIS2; Security culture; Awareness</x:v>
      </x:c>
      <x:c r="S89" s="17" t="str">
        <x:v>Not Assessed</x:v>
      </x:c>
      <x:c r="T89" s="17" t="str">
        <x:v>https://eur-lex.europa.eu/eli/dir/2022/2555/oj/eng</x:v>
      </x:c>
      <x:c r="U89" s="17" t="str"/>
    </x:row>
    <x:row r="90" ht="72" customHeight="1">
      <x:c r="A90" s="17" t="str">
        <x:v>CYR-089</x:v>
      </x:c>
      <x:c r="B90" s="17" t="str">
        <x:v>NIS2 Art.21 Cybersecurity Risk Management</x:v>
      </x:c>
      <x:c r="C90" s="17" t="str">
        <x:v>Human Factors, Awareness &amp; Insider Risk</x:v>
      </x:c>
      <x:c r="D90" s="17" t="str">
        <x:v>Lack of disciplinary process for security violations</x:v>
      </x:c>
      <x:c r="E90" s="17" t="str">
        <x:v>Lack of disciplinary process for security violations may affect the confidentiality, integrity, availability or resilience of critical services and network and information systems.</x:v>
      </x:c>
      <x:c r="F90" s="17" t="str">
        <x:v>Weak enforcement of cybersecurity policies and repeated non-compliance.</x:v>
      </x:c>
      <x:c r="G90" s="17" t="str">
        <x:v>Art.21(2)(g) cyber hygiene; Art.21(2)(i) HR security</x:v>
      </x:c>
      <x:c r="H90" s="17" t="str">
        <x:v>Employees, contractors, policy violations, HR procedures</x:v>
      </x:c>
      <x:c r="I90" s="17" t="str">
        <x:v>Medium</x:v>
      </x:c>
      <x:c r="J90" s="17" t="str">
        <x:v>High</x:v>
      </x:c>
      <x:c r="K90" s="17" t="str">
        <x:v>Medium</x:v>
      </x:c>
      <x:c r="L90" s="17" t="str">
        <x:v>Mitigate</x:v>
      </x:c>
      <x:c r="M90" s="17" t="str">
        <x:v>Define disciplinary and corrective action process for policy violations.</x:v>
      </x:c>
      <x:c r="N90" s="17" t="str">
        <x:v>Policy violation procedure, HR escalation, corrective actions, repeat violation monitoring</x:v>
      </x:c>
      <x:c r="O90" s="17" t="str">
        <x:v>Disciplinary procedure; HR records; violation logs; corrective actions</x:v>
      </x:c>
      <x:c r="P90" s="17" t="str">
        <x:v>HR / Compliance Manager</x:v>
      </x:c>
      <x:c r="Q90" s="17" t="str">
        <x:v>Quarterly</x:v>
      </x:c>
      <x:c r="R90" s="17" t="str">
        <x:v>NIS2; Policy enforcement; HR security</x:v>
      </x:c>
      <x:c r="S90" s="17" t="str">
        <x:v>Not Assessed</x:v>
      </x:c>
      <x:c r="T90" s="17" t="str">
        <x:v>https://eur-lex.europa.eu/eli/dir/2022/2555/oj/eng</x:v>
      </x:c>
      <x:c r="U90" s="17" t="str"/>
    </x:row>
    <x:row r="91" ht="72" customHeight="1">
      <x:c r="A91" s="17" t="str">
        <x:v>CYR-090</x:v>
      </x:c>
      <x:c r="B91" s="17" t="str">
        <x:v>NIS2 Art.21 Cybersecurity Risk Management</x:v>
      </x:c>
      <x:c r="C91" s="17" t="str">
        <x:v>Human Factors, Awareness &amp; Insider Risk</x:v>
      </x:c>
      <x:c r="D91" s="17" t="str">
        <x:v>Key cybersecurity knowledge depends on one person</x:v>
      </x:c>
      <x:c r="E91" s="17" t="str">
        <x:v>Key cybersecurity knowledge depends on one person may affect the confidentiality, integrity, availability or resilience of critical services and network and information systems.</x:v>
      </x:c>
      <x:c r="F91" s="17" t="str">
        <x:v>Operational dependency and poor resilience if key staff are unavailable.</x:v>
      </x:c>
      <x:c r="G91" s="17" t="str">
        <x:v>Art.21(2)(c) business continuity; Art.21(2)(g) training</x:v>
      </x:c>
      <x:c r="H91" s="17" t="str">
        <x:v>Security operations, IT operations, admin procedures, critical systems</x:v>
      </x:c>
      <x:c r="I91" s="17" t="str">
        <x:v>Medium</x:v>
      </x:c>
      <x:c r="J91" s="17" t="str">
        <x:v>High</x:v>
      </x:c>
      <x:c r="K91" s="17" t="str">
        <x:v>Medium</x:v>
      </x:c>
      <x:c r="L91" s="17" t="str">
        <x:v>Mitigate</x:v>
      </x:c>
      <x:c r="M91" s="17" t="str">
        <x:v>Document procedures and cross-train staff for critical cybersecurity operations.</x:v>
      </x:c>
      <x:c r="N91" s="17" t="str">
        <x:v>Procedure documentation, cross-training, succession planning, runbooks</x:v>
      </x:c>
      <x:c r="O91" s="17" t="str">
        <x:v>Runbooks; cross-training records; coverage plan; succession matrix</x:v>
      </x:c>
      <x:c r="P91" s="17" t="str">
        <x:v>CISO / IT Manager</x:v>
      </x:c>
      <x:c r="Q91" s="17" t="str">
        <x:v>Quarterly</x:v>
      </x:c>
      <x:c r="R91" s="17" t="str">
        <x:v>NIS2; Key person dependency; Training</x:v>
      </x:c>
      <x:c r="S91" s="17" t="str">
        <x:v>Not Assessed</x:v>
      </x:c>
      <x:c r="T91" s="17" t="str">
        <x:v>https://eur-lex.europa.eu/eli/dir/2022/2555/oj/eng</x:v>
      </x:c>
      <x:c r="U91" s="17" t="str"/>
    </x:row>
    <x:row r="92" ht="72" customHeight="1">
      <x:c r="A92" s="17" t="str">
        <x:v>CYR-091</x:v>
      </x:c>
      <x:c r="B92" s="17" t="str">
        <x:v>NIS2 Art.21 Cybersecurity Risk Management</x:v>
      </x:c>
      <x:c r="C92" s="17" t="str">
        <x:v>Physical, Environmental &amp; OT/IoT Security</x:v>
      </x:c>
      <x:c r="D92" s="17" t="str">
        <x:v>Unauthorized physical access to ICT areas</x:v>
      </x:c>
      <x:c r="E92" s="17" t="str">
        <x:v>Unauthorized physical access to ICT areas may affect the confidentiality, integrity, availability or resilience of critical services and network and information systems.</x:v>
      </x:c>
      <x:c r="F92" s="17" t="str">
        <x:v>Tampering, theft or disruption of critical ICT infrastructure.</x:v>
      </x:c>
      <x:c r="G92" s="17" t="str">
        <x:v>Art.21 all-hazards approach; Art.21(2)(c) business continuity; Art.21(2)(i) asset management</x:v>
      </x:c>
      <x:c r="H92" s="17" t="str">
        <x:v>Server rooms, data centres, network cabinets, backup media</x:v>
      </x:c>
      <x:c r="I92" s="17" t="str">
        <x:v>Medium</x:v>
      </x:c>
      <x:c r="J92" s="17" t="str">
        <x:v>High</x:v>
      </x:c>
      <x:c r="K92" s="17" t="str">
        <x:v>High</x:v>
      </x:c>
      <x:c r="L92" s="17" t="str">
        <x:v>Mitigate</x:v>
      </x:c>
      <x:c r="M92" s="17" t="str">
        <x:v>Control and monitor physical access to server rooms and network areas.</x:v>
      </x:c>
      <x:c r="N92" s="17" t="str">
        <x:v>Physical access control, visitor logs, restricted areas, CCTV, access reviews</x:v>
      </x:c>
      <x:c r="O92" s="17" t="str">
        <x:v>Access control logs; visitor records; CCTV policy; access review reports</x:v>
      </x:c>
      <x:c r="P92" s="17" t="str">
        <x:v>Facilities / IT Operations</x:v>
      </x:c>
      <x:c r="Q92" s="17" t="str">
        <x:v>Quarterly</x:v>
      </x:c>
      <x:c r="R92" s="17" t="str">
        <x:v>NIS2; Physical security; ICT areas</x:v>
      </x:c>
      <x:c r="S92" s="17" t="str">
        <x:v>Not Assessed</x:v>
      </x:c>
      <x:c r="T92" s="17" t="str">
        <x:v>https://eur-lex.europa.eu/eli/dir/2022/2555/oj/eng</x:v>
      </x:c>
      <x:c r="U92" s="17" t="str"/>
    </x:row>
    <x:row r="93" ht="72" customHeight="1">
      <x:c r="A93" s="17" t="str">
        <x:v>CYR-092</x:v>
      </x:c>
      <x:c r="B93" s="17" t="str">
        <x:v>NIS2 Art.21 Cybersecurity Risk Management</x:v>
      </x:c>
      <x:c r="C93" s="17" t="str">
        <x:v>Physical, Environmental &amp; OT/IoT Security</x:v>
      </x:c>
      <x:c r="D93" s="17" t="str">
        <x:v>Fire, flood or environmental event affects ICT systems</x:v>
      </x:c>
      <x:c r="E93" s="17" t="str">
        <x:v>Fire, flood or environmental event affects ICT systems may affect the confidentiality, integrity, availability or resilience of critical services and network and information systems.</x:v>
      </x:c>
      <x:c r="F93" s="17" t="str">
        <x:v>Service outage, equipment damage or data loss.</x:v>
      </x:c>
      <x:c r="G93" s="17" t="str">
        <x:v>Art.21 all-hazards approach; Art.21(2)(c) business continuity; Art.21(2)(i) asset management</x:v>
      </x:c>
      <x:c r="H93" s="17" t="str">
        <x:v>Server rooms, data centres, network rooms, backup systems</x:v>
      </x:c>
      <x:c r="I93" s="17" t="str">
        <x:v>Medium</x:v>
      </x:c>
      <x:c r="J93" s="17" t="str">
        <x:v>High</x:v>
      </x:c>
      <x:c r="K93" s="17" t="str">
        <x:v>High</x:v>
      </x:c>
      <x:c r="L93" s="17" t="str">
        <x:v>Mitigate</x:v>
      </x:c>
      <x:c r="M93" s="17" t="str">
        <x:v>Implement environmental protections and continuity measures.</x:v>
      </x:c>
      <x:c r="N93" s="17" t="str">
        <x:v>Fire suppression, water detection, UPS, environmental monitoring, DR plan</x:v>
      </x:c>
      <x:c r="O93" s="17" t="str">
        <x:v>Environmental monitoring logs; maintenance records; DR tests; facility risk assessment</x:v>
      </x:c>
      <x:c r="P93" s="17" t="str">
        <x:v>Facilities / IT Operations</x:v>
      </x:c>
      <x:c r="Q93" s="17" t="str">
        <x:v>Quarterly</x:v>
      </x:c>
      <x:c r="R93" s="17" t="str">
        <x:v>NIS2; Environmental risk; Continuity</x:v>
      </x:c>
      <x:c r="S93" s="17" t="str">
        <x:v>Not Assessed</x:v>
      </x:c>
      <x:c r="T93" s="17" t="str">
        <x:v>https://eur-lex.europa.eu/eli/dir/2022/2555/oj/eng</x:v>
      </x:c>
      <x:c r="U93" s="17" t="str"/>
    </x:row>
    <x:row r="94" ht="72" customHeight="1">
      <x:c r="A94" s="17" t="str">
        <x:v>CYR-093</x:v>
      </x:c>
      <x:c r="B94" s="17" t="str">
        <x:v>NIS2 Art.21 Cybersecurity Risk Management</x:v>
      </x:c>
      <x:c r="C94" s="17" t="str">
        <x:v>Physical, Environmental &amp; OT/IoT Security</x:v>
      </x:c>
      <x:c r="D94" s="17" t="str">
        <x:v>CCTV/access logs are not reviewed</x:v>
      </x:c>
      <x:c r="E94" s="17" t="str">
        <x:v>CCTV/access logs are not reviewed may affect the confidentiality, integrity, availability or resilience of critical services and network and information systems.</x:v>
      </x:c>
      <x:c r="F94" s="17" t="str">
        <x:v>Physical incidents or unauthorized access may go undetected.</x:v>
      </x:c>
      <x:c r="G94" s="17" t="str">
        <x:v>Art.21 all-hazards approach; Art.21(2)(c) business continuity; Art.21(2)(i) asset management</x:v>
      </x:c>
      <x:c r="H94" s="17" t="str">
        <x:v>Physical access systems, CCTV, visitor logs, server rooms</x:v>
      </x:c>
      <x:c r="I94" s="17" t="str">
        <x:v>Medium</x:v>
      </x:c>
      <x:c r="J94" s="17" t="str">
        <x:v>High</x:v>
      </x:c>
      <x:c r="K94" s="17" t="str">
        <x:v>Medium</x:v>
      </x:c>
      <x:c r="L94" s="17" t="str">
        <x:v>Mitigate</x:v>
      </x:c>
      <x:c r="M94" s="17" t="str">
        <x:v>Monitor, retain and periodically review physical security logs.</x:v>
      </x:c>
      <x:c r="N94" s="17" t="str">
        <x:v>Access log review, CCTV retention, exception alerts, periodic audits</x:v>
      </x:c>
      <x:c r="O94" s="17" t="str">
        <x:v>Access review records; CCTV retention settings; exception reports</x:v>
      </x:c>
      <x:c r="P94" s="17" t="str">
        <x:v>Facilities / Security Manager</x:v>
      </x:c>
      <x:c r="Q94" s="17" t="str">
        <x:v>Quarterly</x:v>
      </x:c>
      <x:c r="R94" s="17" t="str">
        <x:v>NIS2; Physical monitoring; Log review</x:v>
      </x:c>
      <x:c r="S94" s="17" t="str">
        <x:v>Not Assessed</x:v>
      </x:c>
      <x:c r="T94" s="17" t="str">
        <x:v>https://eur-lex.europa.eu/eli/dir/2022/2555/oj/eng</x:v>
      </x:c>
      <x:c r="U94" s="17" t="str"/>
    </x:row>
    <x:row r="95" ht="72" customHeight="1">
      <x:c r="A95" s="17" t="str">
        <x:v>CYR-094</x:v>
      </x:c>
      <x:c r="B95" s="17" t="str">
        <x:v>NIS2 Art.21 Cybersecurity Risk Management</x:v>
      </x:c>
      <x:c r="C95" s="17" t="str">
        <x:v>Physical, Environmental &amp; OT/IoT Security</x:v>
      </x:c>
      <x:c r="D95" s="17" t="str">
        <x:v>OT/ICS systems are connected without segmentation</x:v>
      </x:c>
      <x:c r="E95" s="17" t="str">
        <x:v>OT/ICS systems are connected without segmentation may affect the confidentiality, integrity, availability or resilience of critical services and network and information systems.</x:v>
      </x:c>
      <x:c r="F95" s="17" t="str">
        <x:v>Operational disruption, safety impact or lateral movement from IT to OT.</x:v>
      </x:c>
      <x:c r="G95" s="17" t="str">
        <x:v>Art.21 all-hazards approach; Art.21(2)(e) secure maintenance; Art.21(2)(i) asset management</x:v>
      </x:c>
      <x:c r="H95" s="17" t="str">
        <x:v>OT/ICS networks, production systems, industrial controllers, IT/OT gateways</x:v>
      </x:c>
      <x:c r="I95" s="17" t="str">
        <x:v>Medium</x:v>
      </x:c>
      <x:c r="J95" s="17" t="str">
        <x:v>High</x:v>
      </x:c>
      <x:c r="K95" s="17" t="str">
        <x:v>Critical</x:v>
      </x:c>
      <x:c r="L95" s="17" t="str">
        <x:v>Mitigate</x:v>
      </x:c>
      <x:c r="M95" s="17" t="str">
        <x:v>Segment OT from IT networks and strictly control remote access.</x:v>
      </x:c>
      <x:c r="N95" s="17" t="str">
        <x:v>IT/OT segmentation, firewall rules, jump servers, OT access monitoring</x:v>
      </x:c>
      <x:c r="O95" s="17" t="str">
        <x:v>Network diagrams; segmentation rules; OT access logs; firewall review</x:v>
      </x:c>
      <x:c r="P95" s="17" t="str">
        <x:v>OT Security Owner / Network Security</x:v>
      </x:c>
      <x:c r="Q95" s="17" t="str">
        <x:v>Quarterly</x:v>
      </x:c>
      <x:c r="R95" s="17" t="str">
        <x:v>NIS2; OT security; Segmentation</x:v>
      </x:c>
      <x:c r="S95" s="17" t="str">
        <x:v>Not Assessed</x:v>
      </x:c>
      <x:c r="T95" s="17" t="str">
        <x:v>https://eur-lex.europa.eu/eli/dir/2022/2555/oj/eng</x:v>
      </x:c>
      <x:c r="U95" s="17" t="str"/>
    </x:row>
    <x:row r="96" ht="72" customHeight="1">
      <x:c r="A96" s="17" t="str">
        <x:v>CYR-095</x:v>
      </x:c>
      <x:c r="B96" s="17" t="str">
        <x:v>NIS2 Art.21 Cybersecurity Risk Management</x:v>
      </x:c>
      <x:c r="C96" s="17" t="str">
        <x:v>Physical, Environmental &amp; OT/IoT Security</x:v>
      </x:c>
      <x:c r="D96" s="17" t="str">
        <x:v>Legacy OT systems cannot be patched</x:v>
      </x:c>
      <x:c r="E96" s="17" t="str">
        <x:v>Legacy OT systems cannot be patched may affect the confidentiality, integrity, availability or resilience of critical services and network and information systems.</x:v>
      </x:c>
      <x:c r="F96" s="17" t="str">
        <x:v>Persistent exploitation risk due to unpatched operational systems.</x:v>
      </x:c>
      <x:c r="G96" s="17" t="str">
        <x:v>Art.21(2)(e) vulnerability handling; Art.21 all-hazards approach</x:v>
      </x:c>
      <x:c r="H96" s="17" t="str">
        <x:v>Legacy OT systems, industrial controllers, engineering workstations</x:v>
      </x:c>
      <x:c r="I96" s="17" t="str">
        <x:v>Medium</x:v>
      </x:c>
      <x:c r="J96" s="17" t="str">
        <x:v>High</x:v>
      </x:c>
      <x:c r="K96" s="17" t="str">
        <x:v>High</x:v>
      </x:c>
      <x:c r="L96" s="17" t="str">
        <x:v>Mitigate</x:v>
      </x:c>
      <x:c r="M96" s="17" t="str">
        <x:v>Apply compensating controls, isolation and OT monitoring.</x:v>
      </x:c>
      <x:c r="N96" s="17" t="str">
        <x:v>Compensating controls, vulnerability risk assessment, network isolation, vendor support plan</x:v>
      </x:c>
      <x:c r="O96" s="17" t="str">
        <x:v>OT asset register; exception approvals; monitoring reports; compensating control records</x:v>
      </x:c>
      <x:c r="P96" s="17" t="str">
        <x:v>OT Security Owner / Operations</x:v>
      </x:c>
      <x:c r="Q96" s="17" t="str">
        <x:v>Quarterly</x:v>
      </x:c>
      <x:c r="R96" s="17" t="str">
        <x:v>NIS2; OT vulnerability; Legacy systems</x:v>
      </x:c>
      <x:c r="S96" s="17" t="str">
        <x:v>Not Assessed</x:v>
      </x:c>
      <x:c r="T96" s="17" t="str">
        <x:v>https://eur-lex.europa.eu/eli/dir/2022/2555/oj/eng</x:v>
      </x:c>
      <x:c r="U96" s="17" t="str"/>
    </x:row>
    <x:row r="97" ht="72" customHeight="1">
      <x:c r="A97" s="17" t="str">
        <x:v>CYR-096</x:v>
      </x:c>
      <x:c r="B97" s="17" t="str">
        <x:v>NIS2 Art.21 Cybersecurity Risk Management</x:v>
      </x:c>
      <x:c r="C97" s="17" t="str">
        <x:v>Physical, Environmental &amp; OT/IoT Security</x:v>
      </x:c>
      <x:c r="D97" s="17" t="str">
        <x:v>Remote maintenance of OT is insecure</x:v>
      </x:c>
      <x:c r="E97" s="17" t="str">
        <x:v>Remote maintenance of OT is insecure may affect the confidentiality, integrity, availability or resilience of critical services and network and information systems.</x:v>
      </x:c>
      <x:c r="F97" s="17" t="str">
        <x:v>Unauthorized operational access or compromise via vendor maintenance channels.</x:v>
      </x:c>
      <x:c r="G97" s="17" t="str">
        <x:v>Art.21(2)(d) supply-chain security; Art.21(2)(i) access control; Art.21(2)(j) secured communications</x:v>
      </x:c>
      <x:c r="H97" s="17" t="str">
        <x:v>OT remote access, vendor accounts, maintenance tools, jump servers</x:v>
      </x:c>
      <x:c r="I97" s="17" t="str">
        <x:v>Medium</x:v>
      </x:c>
      <x:c r="J97" s="17" t="str">
        <x:v>High</x:v>
      </x:c>
      <x:c r="K97" s="17" t="str">
        <x:v>Critical</x:v>
      </x:c>
      <x:c r="L97" s="17" t="str">
        <x:v>Mitigate</x:v>
      </x:c>
      <x:c r="M97" s="17" t="str">
        <x:v>Secure vendor remote maintenance with MFA, approvals, monitoring and time-bound access.</x:v>
      </x:c>
      <x:c r="N97" s="17" t="str">
        <x:v>Vendor access approval, MFA, session recording, time-bound access, jump host</x:v>
      </x:c>
      <x:c r="O97" s="17" t="str">
        <x:v>Vendor access logs; approval records; MFA reports; session recordings</x:v>
      </x:c>
      <x:c r="P97" s="17" t="str">
        <x:v>OT Security Owner / Third-Party Risk Manager</x:v>
      </x:c>
      <x:c r="Q97" s="17" t="str">
        <x:v>Quarterly</x:v>
      </x:c>
      <x:c r="R97" s="17" t="str">
        <x:v>NIS2; OT remote access; Supplier access</x:v>
      </x:c>
      <x:c r="S97" s="17" t="str">
        <x:v>Not Assessed</x:v>
      </x:c>
      <x:c r="T97" s="17" t="str">
        <x:v>https://eur-lex.europa.eu/eli/dir/2022/2555/oj/eng</x:v>
      </x:c>
      <x:c r="U97" s="17" t="str"/>
    </x:row>
    <x:row r="98" ht="72" customHeight="1">
      <x:c r="A98" s="17" t="str">
        <x:v>CYR-097</x:v>
      </x:c>
      <x:c r="B98" s="17" t="str">
        <x:v>NIS2 Art.21 Cybersecurity Risk Management</x:v>
      </x:c>
      <x:c r="C98" s="17" t="str">
        <x:v>Physical, Environmental &amp; OT/IoT Security</x:v>
      </x:c>
      <x:c r="D98" s="17" t="str">
        <x:v>Lack of OT incident response procedures</x:v>
      </x:c>
      <x:c r="E98" s="17" t="str">
        <x:v>Lack of OT incident response procedures may affect the confidentiality, integrity, availability or resilience of critical services and network and information systems.</x:v>
      </x:c>
      <x:c r="F98" s="17" t="str">
        <x:v>Delayed containment and unsafe response in industrial or operational environments.</x:v>
      </x:c>
      <x:c r="G98" s="17" t="str">
        <x:v>Art.21(2)(b) incident handling; Art.21 all-hazards approach</x:v>
      </x:c>
      <x:c r="H98" s="17" t="str">
        <x:v>OT/ICS environments, operations teams, safety systems, incident response team</x:v>
      </x:c>
      <x:c r="I98" s="17" t="str">
        <x:v>Medium</x:v>
      </x:c>
      <x:c r="J98" s="17" t="str">
        <x:v>High</x:v>
      </x:c>
      <x:c r="K98" s="17" t="str">
        <x:v>High</x:v>
      </x:c>
      <x:c r="L98" s="17" t="str">
        <x:v>Mitigate</x:v>
      </x:c>
      <x:c r="M98" s="17" t="str">
        <x:v>Create OT-specific incident response playbooks and escalation procedures.</x:v>
      </x:c>
      <x:c r="N98" s="17" t="str">
        <x:v>OT incident playbooks, IT/OT escalation, safe shutdown procedures, exercises</x:v>
      </x:c>
      <x:c r="O98" s="17" t="str">
        <x:v>OT IR playbooks; tabletop reports; escalation matrix; training records</x:v>
      </x:c>
      <x:c r="P98" s="17" t="str">
        <x:v>OT Security Owner / Incident Manager</x:v>
      </x:c>
      <x:c r="Q98" s="17" t="str">
        <x:v>Quarterly</x:v>
      </x:c>
      <x:c r="R98" s="17" t="str">
        <x:v>NIS2; OT incident response; Playbooks</x:v>
      </x:c>
      <x:c r="S98" s="17" t="str">
        <x:v>Not Assessed</x:v>
      </x:c>
      <x:c r="T98" s="17" t="str">
        <x:v>https://eur-lex.europa.eu/eli/dir/2022/2555/oj/eng</x:v>
      </x:c>
      <x:c r="U98" s="17" t="str"/>
    </x:row>
    <x:row r="99" ht="72" customHeight="1">
      <x:c r="A99" s="17" t="str">
        <x:v>CYR-098</x:v>
      </x:c>
      <x:c r="B99" s="17" t="str">
        <x:v>NIS2 Art.21 Cybersecurity Risk Management</x:v>
      </x:c>
      <x:c r="C99" s="17" t="str">
        <x:v>Physical, Environmental &amp; OT/IoT Security</x:v>
      </x:c>
      <x:c r="D99" s="17" t="str">
        <x:v>Inadequate monitoring of critical infrastructure systems</x:v>
      </x:c>
      <x:c r="E99" s="17" t="str">
        <x:v>Inadequate monitoring of critical infrastructure systems may affect the confidentiality, integrity, availability or resilience of critical services and network and information systems.</x:v>
      </x:c>
      <x:c r="F99" s="17" t="str">
        <x:v>Attacks or anomalies in critical systems remain undetected.</x:v>
      </x:c>
      <x:c r="G99" s="17" t="str">
        <x:v>Art.21(2)(b) incident handling; Art.21(2)(f) effectiveness assessment</x:v>
      </x:c>
      <x:c r="H99" s="17" t="str">
        <x:v>OT networks, critical infrastructure systems, SCADA, industrial sensors</x:v>
      </x:c>
      <x:c r="I99" s="17" t="str">
        <x:v>Medium</x:v>
      </x:c>
      <x:c r="J99" s="17" t="str">
        <x:v>High</x:v>
      </x:c>
      <x:c r="K99" s="17" t="str">
        <x:v>High</x:v>
      </x:c>
      <x:c r="L99" s="17" t="str">
        <x:v>Mitigate</x:v>
      </x:c>
      <x:c r="M99" s="17" t="str">
        <x:v>Deploy OT/critical-infrastructure-aware monitoring and alerting.</x:v>
      </x:c>
      <x:c r="N99" s="17" t="str">
        <x:v>OT monitoring, anomaly detection, asset visibility, alert escalation</x:v>
      </x:c>
      <x:c r="O99" s="17" t="str">
        <x:v>Monitoring coverage reports; OT alerts; response procedures; dashboard reports</x:v>
      </x:c>
      <x:c r="P99" s="17" t="str">
        <x:v>OT Security Owner / SOC Manager</x:v>
      </x:c>
      <x:c r="Q99" s="17" t="str">
        <x:v>Quarterly</x:v>
      </x:c>
      <x:c r="R99" s="17" t="str">
        <x:v>NIS2; OT monitoring; Critical infrastructure</x:v>
      </x:c>
      <x:c r="S99" s="17" t="str">
        <x:v>Not Assessed</x:v>
      </x:c>
      <x:c r="T99" s="17" t="str">
        <x:v>https://eur-lex.europa.eu/eli/dir/2022/2555/oj/eng</x:v>
      </x:c>
      <x:c r="U99" s="17" t="str"/>
    </x:row>
    <x:row r="100" ht="72" customHeight="1">
      <x:c r="A100" s="17" t="str">
        <x:v>CYR-099</x:v>
      </x:c>
      <x:c r="B100" s="17" t="str">
        <x:v>NIS2 Art.21 Cybersecurity Risk Management</x:v>
      </x:c>
      <x:c r="C100" s="17" t="str">
        <x:v>Physical, Environmental &amp; OT/IoT Security</x:v>
      </x:c>
      <x:c r="D100" s="17" t="str">
        <x:v>Insecure IoT devices</x:v>
      </x:c>
      <x:c r="E100" s="17" t="str">
        <x:v>Insecure IoT devices may affect the confidentiality, integrity, availability or resilience of critical services and network and information systems.</x:v>
      </x:c>
      <x:c r="F100" s="17" t="str">
        <x:v>Botnet participation, lateral movement, surveillance or data leakage.</x:v>
      </x:c>
      <x:c r="G100" s="17" t="str">
        <x:v>Art.21(2)(i) asset management; Art.21(2)(e) secure maintenance</x:v>
      </x:c>
      <x:c r="H100" s="17" t="str">
        <x:v>IoT devices, cameras, sensors, smart devices, building systems</x:v>
      </x:c>
      <x:c r="I100" s="17" t="str">
        <x:v>Medium</x:v>
      </x:c>
      <x:c r="J100" s="17" t="str">
        <x:v>High</x:v>
      </x:c>
      <x:c r="K100" s="17" t="str">
        <x:v>High</x:v>
      </x:c>
      <x:c r="L100" s="17" t="str">
        <x:v>Mitigate</x:v>
      </x:c>
      <x:c r="M100" s="17" t="str">
        <x:v>Inventory and harden IoT devices and restrict their network access.</x:v>
      </x:c>
      <x:c r="N100" s="17" t="str">
        <x:v>IoT inventory, default credential removal, segmentation, firmware updates</x:v>
      </x:c>
      <x:c r="O100" s="17" t="str">
        <x:v>IoT asset inventory; hardening records; network segmentation; firmware update logs</x:v>
      </x:c>
      <x:c r="P100" s="17" t="str">
        <x:v>IT Operations / Facilities</x:v>
      </x:c>
      <x:c r="Q100" s="17" t="str">
        <x:v>Quarterly</x:v>
      </x:c>
      <x:c r="R100" s="17" t="str">
        <x:v>NIS2; IoT security; Asset management</x:v>
      </x:c>
      <x:c r="S100" s="17" t="str">
        <x:v>Not Assessed</x:v>
      </x:c>
      <x:c r="T100" s="17" t="str">
        <x:v>https://eur-lex.europa.eu/eli/dir/2022/2555/oj/eng</x:v>
      </x:c>
      <x:c r="U100" s="17" t="str"/>
    </x:row>
    <x:row r="101" ht="72" customHeight="1">
      <x:c r="A101" s="17" t="str">
        <x:v>CYR-100</x:v>
      </x:c>
      <x:c r="B101" s="17" t="str">
        <x:v>NIS2 Art.21 Cybersecurity Risk Management</x:v>
      </x:c>
      <x:c r="C101" s="17" t="str">
        <x:v>Physical, Environmental &amp; OT/IoT Security</x:v>
      </x:c>
      <x:c r="D101" s="17" t="str">
        <x:v>Telecom or network equipment compromise</x:v>
      </x:c>
      <x:c r="E101" s="17" t="str">
        <x:v>Telecom or network equipment compromise may affect the confidentiality, integrity, availability or resilience of critical services and network and information systems.</x:v>
      </x:c>
      <x:c r="F101" s="17" t="str">
        <x:v>Service disruption, interception or loss of network integrity.</x:v>
      </x:c>
      <x:c r="G101" s="17" t="str">
        <x:v>Art.21(2)(j) secured communications; Art.21(2)(e) secure maintenance</x:v>
      </x:c>
      <x:c r="H101" s="17" t="str">
        <x:v>Routers, switches, firewalls, telecom links, DNS, network management</x:v>
      </x:c>
      <x:c r="I101" s="17" t="str">
        <x:v>Medium</x:v>
      </x:c>
      <x:c r="J101" s="17" t="str">
        <x:v>High</x:v>
      </x:c>
      <x:c r="K101" s="17" t="str">
        <x:v>Critical</x:v>
      </x:c>
      <x:c r="L101" s="17" t="str">
        <x:v>Mitigate</x:v>
      </x:c>
      <x:c r="M101" s="17" t="str">
        <x:v>Secure and monitor network and telecom infrastructure.</x:v>
      </x:c>
      <x:c r="N101" s="17" t="str">
        <x:v>Network device hardening, firmware updates, configuration backup, monitoring, access control</x:v>
      </x:c>
      <x:c r="O101" s="17" t="str">
        <x:v>Network device inventory; firmware records; configuration backups; monitoring logs</x:v>
      </x:c>
      <x:c r="P101" s="17" t="str">
        <x:v>Network Security</x:v>
      </x:c>
      <x:c r="Q101" s="17" t="str">
        <x:v>Quarterly</x:v>
      </x:c>
      <x:c r="R101" s="17" t="str">
        <x:v>NIS2; Network equipment; Secure communications</x:v>
      </x:c>
      <x:c r="S101" s="17" t="str">
        <x:v>Not Assessed</x:v>
      </x:c>
      <x:c r="T101" s="17" t="str">
        <x:v>https://eur-lex.europa.eu/eli/dir/2022/2555/oj/eng</x:v>
      </x:c>
      <x:c r="U101" s="17" t="str"/>
    </x:row>
  </x:sheetData>
  <x:conditionalFormatting sqref="K2:K101">
    <x:cfRule type="expression" dxfId="0" priority="1">
      <x:formula>K2="Critical"</x:formula>
    </x:cfRule>
    <x:cfRule type="expression" dxfId="1" priority="2">
      <x:formula>K2="High"</x:formula>
    </x:cfRule>
    <x:cfRule type="expression" dxfId="2" priority="3">
      <x:formula>K2="Medium"</x:formula>
    </x:cfRule>
    <x:cfRule type="expression" dxfId="3" priority="4">
      <x:formula>K2="Low"</x:formula>
    </x:cfRule>
  </x:conditionalFormatting>
  <x:dataValidations count="6">
    <x:dataValidation type="list" sqref="I2:I501">
      <x:formula1>Lists!$A$2:$A$4</x:formula1>
    </x:dataValidation>
    <x:dataValidation type="list" sqref="J2:J501">
      <x:formula1>Lists!$B$2:$B$4</x:formula1>
    </x:dataValidation>
    <x:dataValidation type="list" sqref="K2:K501">
      <x:formula1>Lists!$C$2:$C$5</x:formula1>
    </x:dataValidation>
    <x:dataValidation type="list" sqref="L2:L501">
      <x:formula1>Lists!$D$2:$D$5</x:formula1>
    </x:dataValidation>
    <x:dataValidation type="list" sqref="Q2:Q501">
      <x:formula1>Lists!$E$2:$E$6</x:formula1>
    </x:dataValidation>
    <x:dataValidation type="list" sqref="S2:S501">
      <x:formula1>Lists!$F$2:$F$8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65e71c37cf43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42" hidden="0" customWidth="1"/>
    <x:col min="5" max="5" width="42" hidden="0" customWidth="1"/>
  </x:cols>
  <x:sheetData>
    <x:row r="1">
      <x:c r="A1" s="16" t="str">
        <x:v>Workbook Column</x:v>
      </x:c>
      <x:c r="B1" s="16" t="str">
        <x:v>Target App Field</x:v>
      </x:c>
      <x:c r="C1" s="16" t="str">
        <x:v>Data Type</x:v>
      </x:c>
      <x:c r="D1" s="16" t="str">
        <x:v>Import Rule</x:v>
      </x:c>
      <x:c r="E1" s="16" t="str">
        <x:v>Notes</x:v>
      </x:c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</x:row>
    <x:row r="2">
      <x:c r="A2" s="44" t="str">
        <x:v>Risk_ID</x:v>
      </x:c>
      <x:c r="B2" s="44" t="str">
        <x:v>risk_id</x:v>
      </x:c>
      <x:c r="C2" s="44" t="str">
        <x:v>string</x:v>
      </x:c>
      <x:c r="D2" s="44" t="str">
        <x:v>Required; unique; upsert key with library_code</x:v>
      </x:c>
      <x:c r="E2" s="44" t="str">
        <x:v>Preserve values exactly, e.g. CYR-001</x:v>
      </x:c>
    </x:row>
    <x:row r="3">
      <x:c r="A3" s="44" t="str">
        <x:v>Framework_Context</x:v>
      </x:c>
      <x:c r="B3" s="44" t="str">
        <x:v>framework_context</x:v>
      </x:c>
      <x:c r="C3" s="44" t="str">
        <x:v>string</x:v>
      </x:c>
      <x:c r="D3" s="44" t="str">
        <x:v>Optional; default NIS2 Art.21 Cybersecurity Risk Management</x:v>
      </x:c>
      <x:c r="E3" s="44" t="str">
        <x:v>Use for filtering/reporting</x:v>
      </x:c>
    </x:row>
    <x:row r="4">
      <x:c r="A4" s="44" t="str">
        <x:v>Risk_Category</x:v>
      </x:c>
      <x:c r="B4" s="44" t="str">
        <x:v>category</x:v>
      </x:c>
      <x:c r="C4" s="44" t="str">
        <x:v>string</x:v>
      </x:c>
      <x:c r="D4" s="44" t="str">
        <x:v>Required</x:v>
      </x:c>
      <x:c r="E4" s="44" t="str">
        <x:v>Use as dashboard grouping</x:v>
      </x:c>
    </x:row>
    <x:row r="5">
      <x:c r="A5" s="44" t="str">
        <x:v>Risk_Title</x:v>
      </x:c>
      <x:c r="B5" s="44" t="str">
        <x:v>title</x:v>
      </x:c>
      <x:c r="C5" s="44" t="str">
        <x:v>string</x:v>
      </x:c>
      <x:c r="D5" s="44" t="str">
        <x:v>Required</x:v>
      </x:c>
      <x:c r="E5" s="44" t="str">
        <x:v>Display title</x:v>
      </x:c>
    </x:row>
    <x:row r="6">
      <x:c r="A6" s="44" t="str">
        <x:v>Risk_Statement</x:v>
      </x:c>
      <x:c r="B6" s="44" t="str">
        <x:v>risk_statement</x:v>
      </x:c>
      <x:c r="C6" s="44" t="str">
        <x:v>text</x:v>
      </x:c>
      <x:c r="D6" s="44" t="str">
        <x:v>Required</x:v>
      </x:c>
      <x:c r="E6" s="44" t="str">
        <x:v>Use in risk detail page</x:v>
      </x:c>
    </x:row>
    <x:row r="7">
      <x:c r="A7" s="44" t="str">
        <x:v>Typical_Impact</x:v>
      </x:c>
      <x:c r="B7" s="44" t="str">
        <x:v>typical_impact</x:v>
      </x:c>
      <x:c r="C7" s="44" t="str">
        <x:v>text</x:v>
      </x:c>
      <x:c r="D7" s="44" t="str">
        <x:v>Optional</x:v>
      </x:c>
      <x:c r="E7" s="44" t="str">
        <x:v>Use as impact guidance</x:v>
      </x:c>
    </x:row>
    <x:row r="8">
      <x:c r="A8" s="44" t="str">
        <x:v>NIS2_Art21_Mapping</x:v>
      </x:c>
      <x:c r="B8" s="44" t="str">
        <x:v>regulatory_mapping</x:v>
      </x:c>
      <x:c r="C8" s="44" t="str">
        <x:v>text</x:v>
      </x:c>
      <x:c r="D8" s="44" t="str">
        <x:v>Optional</x:v>
      </x:c>
      <x:c r="E8" s="44" t="str">
        <x:v>Do not treat as legal advice</x:v>
      </x:c>
    </x:row>
    <x:row r="9">
      <x:c r="A9" s="44" t="str">
        <x:v>Affected_Assets_or_Services</x:v>
      </x:c>
      <x:c r="B9" s="44" t="str">
        <x:v>affected_assets</x:v>
      </x:c>
      <x:c r="C9" s="44" t="str">
        <x:v>text</x:v>
      </x:c>
      <x:c r="D9" s="44" t="str">
        <x:v>Optional</x:v>
      </x:c>
      <x:c r="E9" s="44" t="str">
        <x:v>Guidance only</x:v>
      </x:c>
    </x:row>
    <x:row r="10">
      <x:c r="A10" s="44" t="str">
        <x:v>Inherent_Likelihood</x:v>
      </x:c>
      <x:c r="B10" s="44" t="str">
        <x:v>default_likelihood</x:v>
      </x:c>
      <x:c r="C10" s="44" t="str">
        <x:v>enum</x:v>
      </x:c>
      <x:c r="D10" s="44" t="str">
        <x:v>Optional; validate Low/Medium/High</x:v>
      </x:c>
      <x:c r="E10" s="44" t="str">
        <x:v>Editable after import</x:v>
      </x:c>
    </x:row>
    <x:row r="11">
      <x:c r="A11" s="44" t="str">
        <x:v>Inherent_Impact</x:v>
      </x:c>
      <x:c r="B11" s="44" t="str">
        <x:v>default_impact</x:v>
      </x:c>
      <x:c r="C11" s="44" t="str">
        <x:v>enum</x:v>
      </x:c>
      <x:c r="D11" s="44" t="str">
        <x:v>Optional; validate Low/Medium/High</x:v>
      </x:c>
      <x:c r="E11" s="44" t="str">
        <x:v>Editable after import</x:v>
      </x:c>
    </x:row>
    <x:row r="12">
      <x:c r="A12" s="44" t="str">
        <x:v>Inherent_Risk_Rating</x:v>
      </x:c>
      <x:c r="B12" s="44" t="str">
        <x:v>default_rating</x:v>
      </x:c>
      <x:c r="C12" s="44" t="str">
        <x:v>enum</x:v>
      </x:c>
      <x:c r="D12" s="44" t="str">
        <x:v>Optional; validate Low/Medium/High/Critical</x:v>
      </x:c>
      <x:c r="E12" s="44" t="str">
        <x:v>Editable after import</x:v>
      </x:c>
    </x:row>
    <x:row r="13">
      <x:c r="A13" s="44" t="str">
        <x:v>Treatment_Option</x:v>
      </x:c>
      <x:c r="B13" s="44" t="str">
        <x:v>default_treatment_option</x:v>
      </x:c>
      <x:c r="C13" s="44" t="str">
        <x:v>enum</x:v>
      </x:c>
      <x:c r="D13" s="44" t="str">
        <x:v>Optional</x:v>
      </x:c>
      <x:c r="E13" s="44" t="str">
        <x:v>Mitigate/Avoid/Transfer / Share/Accept</x:v>
      </x:c>
    </x:row>
    <x:row r="14">
      <x:c r="A14" s="44" t="str">
        <x:v>Treatment_Direction</x:v>
      </x:c>
      <x:c r="B14" s="44" t="str">
        <x:v>treatment_guidance</x:v>
      </x:c>
      <x:c r="C14" s="44" t="str">
        <x:v>text</x:v>
      </x:c>
      <x:c r="D14" s="44" t="str">
        <x:v>Optional</x:v>
      </x:c>
      <x:c r="E14" s="44" t="str">
        <x:v>Guidance only</x:v>
      </x:c>
    </x:row>
    <x:row r="15">
      <x:c r="A15" s="44" t="str">
        <x:v>Suggested_Controls</x:v>
      </x:c>
      <x:c r="B15" s="44" t="str">
        <x:v>suggested_controls</x:v>
      </x:c>
      <x:c r="C15" s="44" t="str">
        <x:v>text</x:v>
      </x:c>
      <x:c r="D15" s="44" t="str">
        <x:v>Optional</x:v>
      </x:c>
      <x:c r="E15" s="44" t="str">
        <x:v>Can be mapped to controls later</x:v>
      </x:c>
    </x:row>
    <x:row r="16">
      <x:c r="A16" s="44" t="str">
        <x:v>Evidence_Artifacts</x:v>
      </x:c>
      <x:c r="B16" s="44" t="str">
        <x:v>suggested_evidence</x:v>
      </x:c>
      <x:c r="C16" s="44" t="str">
        <x:v>text</x:v>
      </x:c>
      <x:c r="D16" s="44" t="str">
        <x:v>Optional</x:v>
      </x:c>
      <x:c r="E16" s="44" t="str">
        <x:v>Do not create fake evidence</x:v>
      </x:c>
    </x:row>
    <x:row r="17">
      <x:c r="A17" s="44" t="str">
        <x:v>Typical_Owner</x:v>
      </x:c>
      <x:c r="B17" s="44" t="str">
        <x:v>default_owner_role</x:v>
      </x:c>
      <x:c r="C17" s="44" t="str">
        <x:v>string</x:v>
      </x:c>
      <x:c r="D17" s="44" t="str">
        <x:v>Optional</x:v>
      </x:c>
      <x:c r="E17" s="44" t="str">
        <x:v>Role guidance only</x:v>
      </x:c>
    </x:row>
    <x:row r="18">
      <x:c r="A18" s="44" t="str">
        <x:v>Review_Frequency</x:v>
      </x:c>
      <x:c r="B18" s="44" t="str">
        <x:v>review_frequency</x:v>
      </x:c>
      <x:c r="C18" s="44" t="str">
        <x:v>enum</x:v>
      </x:c>
      <x:c r="D18" s="44" t="str">
        <x:v>Optional</x:v>
      </x:c>
      <x:c r="E18" s="44" t="str">
        <x:v>Monthly/Quarterly/Semi-annually/Annually/After major change</x:v>
      </x:c>
    </x:row>
    <x:row r="19">
      <x:c r="A19" s="44" t="str">
        <x:v>Applicability_Tags</x:v>
      </x:c>
      <x:c r="B19" s="44" t="str">
        <x:v>tags</x:v>
      </x:c>
      <x:c r="C19" s="44" t="str">
        <x:v>string/list</x:v>
      </x:c>
      <x:c r="D19" s="44" t="str">
        <x:v>Optional; split by semicolon</x:v>
      </x:c>
      <x:c r="E19" s="44" t="str">
        <x:v>Use for filters</x:v>
      </x:c>
    </x:row>
    <x:row r="20">
      <x:c r="A20" s="44" t="str">
        <x:v>Default_Status</x:v>
      </x:c>
      <x:c r="B20" s="44" t="str">
        <x:v>default_status</x:v>
      </x:c>
      <x:c r="C20" s="44" t="str">
        <x:v>enum</x:v>
      </x:c>
      <x:c r="D20" s="44" t="str">
        <x:v>Optional</x:v>
      </x:c>
      <x:c r="E20" s="44" t="str">
        <x:v>Default Not Assessed</x:v>
      </x:c>
    </x:row>
    <x:row r="21">
      <x:c r="A21" s="44" t="str">
        <x:v>Source_URL</x:v>
      </x:c>
      <x:c r="B21" s="44" t="str">
        <x:v>source_url</x:v>
      </x:c>
      <x:c r="C21" s="44" t="str">
        <x:v>string</x:v>
      </x:c>
      <x:c r="D21" s="44" t="str">
        <x:v>Optional</x:v>
      </x:c>
      <x:c r="E21" s="44" t="str">
        <x:v>Plain text URL</x:v>
      </x:c>
    </x:row>
    <x:row r="22">
      <x:c r="A22" s="44" t="str">
        <x:v>Notes</x:v>
      </x:c>
      <x:c r="B22" s="44" t="str">
        <x:v>notes</x:v>
      </x:c>
      <x:c r="C22" s="44" t="str">
        <x:v>text</x:v>
      </x:c>
      <x:c r="D22" s="44" t="str">
        <x:v>Optional</x:v>
      </x:c>
      <x:c r="E22" s="44" t="str">
        <x:v>Free text</x:v>
      </x:c>
    </x:row>
  </x:sheetData>
  <x:pageMargins left="0.7" right="0.7" top="0.75" bottom="0.75" header="0.3" footer="0.3"/>
  <x:tableParts count="1">
    <x:tablePart xmlns:r="http://schemas.openxmlformats.org/officeDocument/2006/relationships" r:id="Rea5699ff608a43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6.059999942779541" hidden="0" customWidth="1"/>
    <x:col min="3" max="3" width="8.609999656677246" hidden="0" customWidth="1"/>
    <x:col min="4" max="4" width="13.729999542236328" hidden="0" customWidth="1"/>
    <x:col min="5" max="5" width="14" hidden="0" customWidth="1"/>
    <x:col min="6" max="6" width="10.899999618530273" hidden="0" customWidth="1"/>
    <x:col min="7" max="7" width="31.6299991607666" hidden="0" customWidth="1"/>
    <x:col min="8" max="8" width="40.91999816894531" hidden="0" customWidth="1"/>
  </x:cols>
  <x:sheetData>
    <x:row r="1">
      <x:c r="A1" s="16" t="str">
        <x:v>Likelihood</x:v>
      </x:c>
      <x:c r="B1" s="16" t="str">
        <x:v>Impact</x:v>
      </x:c>
      <x:c r="C1" s="16" t="str">
        <x:v>Risk_Rating</x:v>
      </x:c>
      <x:c r="D1" s="16" t="str">
        <x:v>Treatment_Option</x:v>
      </x:c>
      <x:c r="E1" s="16" t="str">
        <x:v>Review_Frequency</x:v>
      </x:c>
      <x:c r="F1" s="16" t="str">
        <x:v>Default_Status</x:v>
      </x:c>
      <x:c r="G1" s="16" t="str">
        <x:v>Risk_Category</x:v>
      </x:c>
      <x:c r="H1" s="16" t="str">
        <x:v>Typical_Owner</x:v>
      </x:c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</x:row>
    <x:row r="2">
      <x:c r="A2" s="20" t="str">
        <x:v>Low</x:v>
      </x:c>
      <x:c r="B2" s="20" t="str">
        <x:v>Low</x:v>
      </x:c>
      <x:c r="C2" s="20" t="str">
        <x:v>Low</x:v>
      </x:c>
      <x:c r="D2" s="20" t="str">
        <x:v>Mitigate</x:v>
      </x:c>
      <x:c r="E2" s="20" t="str">
        <x:v>Monthly</x:v>
      </x:c>
      <x:c r="F2" s="20" t="str">
        <x:v>Not Assessed</x:v>
      </x:c>
      <x:c r="G2" s="20" t="str">
        <x:v>Application Security &amp; Secure Development</x:v>
      </x:c>
      <x:c r="H2" s="20" t="str">
        <x:v>Application Owner / API Owner</x:v>
      </x:c>
    </x:row>
    <x:row r="3">
      <x:c r="A3" s="20" t="str">
        <x:v>Medium</x:v>
      </x:c>
      <x:c r="B3" s="20" t="str">
        <x:v>Medium</x:v>
      </x:c>
      <x:c r="C3" s="20" t="str">
        <x:v>Medium</x:v>
      </x:c>
      <x:c r="D3" s="20" t="str">
        <x:v>Avoid</x:v>
      </x:c>
      <x:c r="E3" s="20" t="str">
        <x:v>Quarterly</x:v>
      </x:c>
      <x:c r="F3" s="20" t="str">
        <x:v>Open</x:v>
      </x:c>
      <x:c r="G3" s="20" t="str">
        <x:v>Business Continuity &amp; Disaster Recovery</x:v>
      </x:c>
      <x:c r="H3" s="20" t="str">
        <x:v>Application Owners / IAM Owner</x:v>
      </x:c>
    </x:row>
    <x:row r="4">
      <x:c r="A4" s="20" t="str">
        <x:v>High</x:v>
      </x:c>
      <x:c r="B4" s="20" t="str">
        <x:v>High</x:v>
      </x:c>
      <x:c r="C4" s="20" t="str">
        <x:v>High</x:v>
      </x:c>
      <x:c r="D4" s="20" t="str">
        <x:v>Transfer / Share</x:v>
      </x:c>
      <x:c r="E4" s="20" t="str">
        <x:v>Semi-annually</x:v>
      </x:c>
      <x:c r="F4" s="20" t="str">
        <x:v>In Progress</x:v>
      </x:c>
      <x:c r="G4" s="20" t="str">
        <x:v>Data Protection &amp; Cryptography</x:v>
      </x:c>
      <x:c r="H4" s="20" t="str">
        <x:v>Application Security / Procurement</x:v>
      </x:c>
    </x:row>
    <x:row r="5">
      <x:c r="A5" s="20" t="str"/>
      <x:c r="B5" s="20" t="str"/>
      <x:c r="C5" s="20" t="str">
        <x:v>Critical</x:v>
      </x:c>
      <x:c r="D5" s="20" t="str">
        <x:v>Accept</x:v>
      </x:c>
      <x:c r="E5" s="20" t="str">
        <x:v>Annually</x:v>
      </x:c>
      <x:c r="F5" s="20" t="str">
        <x:v>Treated</x:v>
      </x:c>
      <x:c r="G5" s="20" t="str">
        <x:v>Governance &amp; Risk Management</x:v>
      </x:c>
      <x:c r="H5" s="20" t="str">
        <x:v>Application Security Lead</x:v>
      </x:c>
    </x:row>
    <x:row r="6">
      <x:c r="A6" s="20" t="str"/>
      <x:c r="B6" s="20" t="str"/>
      <x:c r="C6" s="20" t="str"/>
      <x:c r="D6" s="20" t="str"/>
      <x:c r="E6" s="20" t="str">
        <x:v>After major change</x:v>
      </x:c>
      <x:c r="F6" s="20" t="str">
        <x:v>Accepted</x:v>
      </x:c>
      <x:c r="G6" s="20" t="str">
        <x:v>Human Factors, Awareness &amp; Insider Risk</x:v>
      </x:c>
      <x:c r="H6" s="20" t="str">
        <x:v>Application Security Lead / Engineering</x:v>
      </x:c>
    </x:row>
    <x:row r="7">
      <x:c r="A7" s="20" t="str"/>
      <x:c r="B7" s="20" t="str"/>
      <x:c r="C7" s="20" t="str"/>
      <x:c r="D7" s="20" t="str"/>
      <x:c r="E7" s="20" t="str"/>
      <x:c r="F7" s="20" t="str">
        <x:v>Closed</x:v>
      </x:c>
      <x:c r="G7" s="20" t="str">
        <x:v>Identity &amp; Access Management</x:v>
      </x:c>
      <x:c r="H7" s="20" t="str">
        <x:v>Backup Owner / IT Operations</x:v>
      </x:c>
    </x:row>
    <x:row r="8">
      <x:c r="A8" s="20" t="str"/>
      <x:c r="B8" s="20" t="str"/>
      <x:c r="C8" s="20" t="str"/>
      <x:c r="D8" s="20" t="str"/>
      <x:c r="E8" s="20" t="str"/>
      <x:c r="F8" s="20" t="str">
        <x:v>Not Applicable</x:v>
      </x:c>
      <x:c r="G8" s="20" t="str">
        <x:v>Incident Management &amp; Detection</x:v>
      </x:c>
      <x:c r="H8" s="20" t="str">
        <x:v>Backup Owner / IT Security</x:v>
      </x:c>
    </x:row>
    <x:row r="9">
      <x:c r="A9" s="20" t="str"/>
      <x:c r="B9" s="20" t="str"/>
      <x:c r="C9" s="20" t="str"/>
      <x:c r="D9" s="20" t="str"/>
      <x:c r="E9" s="20" t="str"/>
      <x:c r="F9" s="20" t="str"/>
      <x:c r="G9" s="20" t="str">
        <x:v>Network &amp; Infrastructure Security</x:v>
      </x:c>
      <x:c r="H9" s="20" t="str">
        <x:v>Business Continuity Manager</x:v>
      </x:c>
    </x:row>
    <x:row r="10">
      <x:c r="A10" s="20" t="str"/>
      <x:c r="B10" s="20" t="str"/>
      <x:c r="C10" s="20" t="str"/>
      <x:c r="D10" s="20" t="str"/>
      <x:c r="E10" s="20" t="str"/>
      <x:c r="F10" s="20" t="str"/>
      <x:c r="G10" s="20" t="str">
        <x:v>Physical, Environmental &amp; OT/IoT Security</x:v>
      </x:c>
      <x:c r="H10" s="20" t="str">
        <x:v>Business Continuity Manager / CISO</x:v>
      </x:c>
    </x:row>
    <x:row r="11">
      <x:c r="A11" s="20" t="str"/>
      <x:c r="B11" s="20" t="str"/>
      <x:c r="C11" s="20" t="str"/>
      <x:c r="D11" s="20" t="str"/>
      <x:c r="E11" s="20" t="str"/>
      <x:c r="F11" s="20" t="str"/>
      <x:c r="G11" s="20" t="str">
        <x:v>Supplier &amp; Third-Party Risk</x:v>
      </x:c>
      <x:c r="H11" s="20" t="str">
        <x:v>Business Continuity Manager / IT Operations</x:v>
      </x:c>
    </x:row>
    <x:row r="12">
      <x:c r="A12" s="20" t="str"/>
      <x:c r="B12" s="20" t="str"/>
      <x:c r="C12" s="20" t="str"/>
      <x:c r="D12" s="20" t="str"/>
      <x:c r="E12" s="20" t="str"/>
      <x:c r="F12" s="20" t="str"/>
      <x:c r="G12" s="20" t="str"/>
      <x:c r="H12" s="20" t="str">
        <x:v>Business Process Owner / BCP Manager</x:v>
      </x:c>
    </x:row>
    <x:row r="13">
      <x:c r="A13" s="20" t="str"/>
      <x:c r="B13" s="20" t="str"/>
      <x:c r="C13" s="20" t="str"/>
      <x:c r="D13" s="20" t="str"/>
      <x:c r="E13" s="20" t="str"/>
      <x:c r="F13" s="20" t="str"/>
      <x:c r="G13" s="20" t="str"/>
      <x:c r="H13" s="20" t="str">
        <x:v>CISO / Application Security Lead</x:v>
      </x:c>
    </x:row>
    <x:row r="14">
      <x:c r="A14" s="20" t="str"/>
      <x:c r="B14" s="20" t="str"/>
      <x:c r="C14" s="20" t="str"/>
      <x:c r="D14" s="20" t="str"/>
      <x:c r="E14" s="20" t="str"/>
      <x:c r="F14" s="20" t="str"/>
      <x:c r="G14" s="20" t="str"/>
      <x:c r="H14" s="20" t="str">
        <x:v>CISO / Compliance Manager</x:v>
      </x:c>
    </x:row>
    <x:row r="15">
      <x:c r="A15" s="20" t="str"/>
      <x:c r="B15" s="20" t="str"/>
      <x:c r="C15" s="20" t="str"/>
      <x:c r="D15" s="20" t="str"/>
      <x:c r="E15" s="20" t="str"/>
      <x:c r="F15" s="20" t="str"/>
      <x:c r="G15" s="20" t="str"/>
      <x:c r="H15" s="20" t="str">
        <x:v>CISO / IT Manager</x:v>
      </x:c>
    </x:row>
    <x:row r="16">
      <x:c r="A16" s="20" t="str"/>
      <x:c r="B16" s="20" t="str"/>
      <x:c r="C16" s="20" t="str"/>
      <x:c r="D16" s="20" t="str"/>
      <x:c r="E16" s="20" t="str"/>
      <x:c r="F16" s="20" t="str"/>
      <x:c r="G16" s="20" t="str"/>
      <x:c r="H16" s="20" t="str">
        <x:v>CISO / Incident Manager</x:v>
      </x:c>
    </x:row>
    <x:row r="17">
      <x:c r="A17" s="20" t="str"/>
      <x:c r="B17" s="20" t="str"/>
      <x:c r="C17" s="20" t="str"/>
      <x:c r="D17" s="20" t="str"/>
      <x:c r="E17" s="20" t="str"/>
      <x:c r="F17" s="20" t="str"/>
      <x:c r="G17" s="20" t="str"/>
      <x:c r="H17" s="20" t="str">
        <x:v>CISO / PMO</x:v>
      </x:c>
    </x:row>
    <x:row r="18">
      <x:c r="A18" s="20" t="str"/>
      <x:c r="B18" s="20" t="str"/>
      <x:c r="C18" s="20" t="str"/>
      <x:c r="D18" s="20" t="str"/>
      <x:c r="E18" s="20" t="str"/>
      <x:c r="F18" s="20" t="str"/>
      <x:c r="G18" s="20" t="str"/>
      <x:c r="H18" s="20" t="str">
        <x:v>CISO / Risk Manager</x:v>
      </x:c>
    </x:row>
    <x:row r="19">
      <x:c r="A19" s="20" t="str"/>
      <x:c r="B19" s="20" t="str"/>
      <x:c r="C19" s="20" t="str"/>
      <x:c r="D19" s="20" t="str"/>
      <x:c r="E19" s="20" t="str"/>
      <x:c r="F19" s="20" t="str"/>
      <x:c r="G19" s="20" t="str"/>
      <x:c r="H19" s="20" t="str">
        <x:v>CISO / Security Awareness Lead</x:v>
      </x:c>
    </x:row>
    <x:row r="20">
      <x:c r="A20" s="20" t="str"/>
      <x:c r="B20" s="20" t="str"/>
      <x:c r="C20" s="20" t="str"/>
      <x:c r="D20" s="20" t="str"/>
      <x:c r="E20" s="20" t="str"/>
      <x:c r="F20" s="20" t="str"/>
      <x:c r="G20" s="20" t="str"/>
      <x:c r="H20" s="20" t="str">
        <x:v>Cloud Security Owner</x:v>
      </x:c>
    </x:row>
    <x:row r="21">
      <x:c r="A21" s="20" t="str"/>
      <x:c r="B21" s="20" t="str"/>
      <x:c r="C21" s="20" t="str"/>
      <x:c r="D21" s="20" t="str"/>
      <x:c r="E21" s="20" t="str"/>
      <x:c r="F21" s="20" t="str"/>
      <x:c r="G21" s="20" t="str"/>
      <x:c r="H21" s="20" t="str">
        <x:v>Compliance Manager / Application Owners</x:v>
      </x:c>
    </x:row>
    <x:row r="22">
      <x:c r="A22" s="20" t="str"/>
      <x:c r="B22" s="20" t="str"/>
      <x:c r="C22" s="20" t="str"/>
      <x:c r="D22" s="20" t="str"/>
      <x:c r="E22" s="20" t="str"/>
      <x:c r="F22" s="20" t="str"/>
      <x:c r="G22" s="20" t="str"/>
      <x:c r="H22" s="20" t="str">
        <x:v>Compliance Manager / CISO</x:v>
      </x:c>
    </x:row>
    <x:row r="23">
      <x:c r="A23" s="20" t="str"/>
      <x:c r="B23" s="20" t="str"/>
      <x:c r="C23" s="20" t="str"/>
      <x:c r="D23" s="20" t="str"/>
      <x:c r="E23" s="20" t="str"/>
      <x:c r="F23" s="20" t="str"/>
      <x:c r="G23" s="20" t="str"/>
      <x:c r="H23" s="20" t="str">
        <x:v>Crisis Manager / CISO</x:v>
      </x:c>
    </x:row>
    <x:row r="24">
      <x:c r="A24" s="20" t="str"/>
      <x:c r="B24" s="20" t="str"/>
      <x:c r="C24" s="20" t="str"/>
      <x:c r="D24" s="20" t="str"/>
      <x:c r="E24" s="20" t="str"/>
      <x:c r="F24" s="20" t="str"/>
      <x:c r="G24" s="20" t="str"/>
      <x:c r="H24" s="20" t="str">
        <x:v>Data Protection Officer / CISO</x:v>
      </x:c>
    </x:row>
    <x:row r="25">
      <x:c r="A25" s="20" t="str"/>
      <x:c r="B25" s="20" t="str"/>
      <x:c r="C25" s="20" t="str"/>
      <x:c r="D25" s="20" t="str"/>
      <x:c r="E25" s="20" t="str"/>
      <x:c r="F25" s="20" t="str"/>
      <x:c r="G25" s="20" t="str"/>
      <x:c r="H25" s="20" t="str">
        <x:v>Data Protection Officer / Data Owner</x:v>
      </x:c>
    </x:row>
    <x:row r="26">
      <x:c r="A26" s="20" t="str"/>
      <x:c r="B26" s="20" t="str"/>
      <x:c r="C26" s="20" t="str"/>
      <x:c r="D26" s="20" t="str"/>
      <x:c r="E26" s="20" t="str"/>
      <x:c r="F26" s="20" t="str"/>
      <x:c r="G26" s="20" t="str"/>
      <x:c r="H26" s="20" t="str">
        <x:v>Database Administrator / Data Owner</x:v>
      </x:c>
    </x:row>
    <x:row r="27">
      <x:c r="A27" s="20" t="str"/>
      <x:c r="B27" s="20" t="str"/>
      <x:c r="C27" s="20" t="str"/>
      <x:c r="D27" s="20" t="str"/>
      <x:c r="E27" s="20" t="str"/>
      <x:c r="F27" s="20" t="str"/>
      <x:c r="G27" s="20" t="str"/>
      <x:c r="H27" s="20" t="str">
        <x:v>DevOps Lead / Application Security</x:v>
      </x:c>
    </x:row>
    <x:row r="28">
      <x:c r="A28" s="20" t="str"/>
      <x:c r="B28" s="20" t="str"/>
      <x:c r="C28" s="20" t="str"/>
      <x:c r="D28" s="20" t="str"/>
      <x:c r="E28" s="20" t="str"/>
      <x:c r="F28" s="20" t="str"/>
      <x:c r="G28" s="20" t="str"/>
      <x:c r="H28" s="20" t="str">
        <x:v>Engineering / Application Security</x:v>
      </x:c>
    </x:row>
    <x:row r="29">
      <x:c r="A29" s="20" t="str"/>
      <x:c r="B29" s="20" t="str"/>
      <x:c r="C29" s="20" t="str"/>
      <x:c r="D29" s="20" t="str"/>
      <x:c r="E29" s="20" t="str"/>
      <x:c r="F29" s="20" t="str"/>
      <x:c r="G29" s="20" t="str"/>
      <x:c r="H29" s="20" t="str">
        <x:v>Engineering / IT Operations</x:v>
      </x:c>
    </x:row>
    <x:row r="30">
      <x:c r="A30" s="20" t="str"/>
      <x:c r="B30" s="20" t="str"/>
      <x:c r="C30" s="20" t="str"/>
      <x:c r="D30" s="20" t="str"/>
      <x:c r="E30" s="20" t="str"/>
      <x:c r="F30" s="20" t="str"/>
      <x:c r="G30" s="20" t="str"/>
      <x:c r="H30" s="20" t="str">
        <x:v>Facilities / IT Operations</x:v>
      </x:c>
    </x:row>
    <x:row r="31">
      <x:c r="A31" s="20" t="str"/>
      <x:c r="B31" s="20" t="str"/>
      <x:c r="C31" s="20" t="str"/>
      <x:c r="D31" s="20" t="str"/>
      <x:c r="E31" s="20" t="str"/>
      <x:c r="F31" s="20" t="str"/>
      <x:c r="G31" s="20" t="str"/>
      <x:c r="H31" s="20" t="str">
        <x:v>Facilities / Security Manager</x:v>
      </x:c>
    </x:row>
    <x:row r="32">
      <x:c r="A32" s="20" t="str"/>
      <x:c r="B32" s="20" t="str"/>
      <x:c r="C32" s="20" t="str"/>
      <x:c r="D32" s="20" t="str"/>
      <x:c r="E32" s="20" t="str"/>
      <x:c r="F32" s="20" t="str"/>
      <x:c r="G32" s="20" t="str"/>
      <x:c r="H32" s="20" t="str">
        <x:v>HR / CISO</x:v>
      </x:c>
    </x:row>
    <x:row r="33">
      <x:c r="A33" s="20" t="str"/>
      <x:c r="B33" s="20" t="str"/>
      <x:c r="C33" s="20" t="str"/>
      <x:c r="D33" s="20" t="str"/>
      <x:c r="E33" s="20" t="str"/>
      <x:c r="F33" s="20" t="str"/>
      <x:c r="G33" s="20" t="str"/>
      <x:c r="H33" s="20" t="str">
        <x:v>HR / Compliance Manager</x:v>
      </x:c>
    </x:row>
    <x:row r="34">
      <x:c r="A34" s="20" t="str"/>
      <x:c r="B34" s="20" t="str"/>
      <x:c r="C34" s="20" t="str"/>
      <x:c r="D34" s="20" t="str"/>
      <x:c r="E34" s="20" t="str"/>
      <x:c r="F34" s="20" t="str"/>
      <x:c r="G34" s="20" t="str"/>
      <x:c r="H34" s="20" t="str">
        <x:v>HR / IAM Owner</x:v>
      </x:c>
    </x:row>
    <x:row r="35">
      <x:c r="A35" s="20" t="str"/>
      <x:c r="B35" s="20" t="str"/>
      <x:c r="C35" s="20" t="str"/>
      <x:c r="D35" s="20" t="str"/>
      <x:c r="E35" s="20" t="str"/>
      <x:c r="F35" s="20" t="str"/>
      <x:c r="G35" s="20" t="str"/>
      <x:c r="H35" s="20" t="str">
        <x:v>IAM Owner / Application Owners</x:v>
      </x:c>
    </x:row>
    <x:row r="36">
      <x:c r="A36" s="20" t="str"/>
      <x:c r="B36" s="20" t="str"/>
      <x:c r="C36" s="20" t="str"/>
      <x:c r="D36" s="20" t="str"/>
      <x:c r="E36" s="20" t="str"/>
      <x:c r="F36" s="20" t="str"/>
      <x:c r="G36" s="20" t="str"/>
      <x:c r="H36" s="20" t="str">
        <x:v>IAM Owner / IT Security</x:v>
      </x:c>
    </x:row>
    <x:row r="37">
      <x:c r="A37" s="20" t="str"/>
      <x:c r="B37" s="20" t="str"/>
      <x:c r="C37" s="20" t="str"/>
      <x:c r="D37" s="20" t="str"/>
      <x:c r="E37" s="20" t="str"/>
      <x:c r="F37" s="20" t="str"/>
      <x:c r="G37" s="20" t="str"/>
      <x:c r="H37" s="20" t="str">
        <x:v>IAM Owner / SOC Manager</x:v>
      </x:c>
    </x:row>
    <x:row r="38">
      <x:c r="A38" s="20" t="str"/>
      <x:c r="B38" s="20" t="str"/>
      <x:c r="C38" s="20" t="str"/>
      <x:c r="D38" s="20" t="str"/>
      <x:c r="E38" s="20" t="str"/>
      <x:c r="F38" s="20" t="str"/>
      <x:c r="G38" s="20" t="str"/>
      <x:c r="H38" s="20" t="str">
        <x:v>IAM Owner / Third-Party Risk Manager</x:v>
      </x:c>
    </x:row>
    <x:row r="39">
      <x:c r="A39" s="20" t="str"/>
      <x:c r="B39" s="20" t="str"/>
      <x:c r="C39" s="20" t="str"/>
      <x:c r="D39" s="20" t="str"/>
      <x:c r="E39" s="20" t="str"/>
      <x:c r="F39" s="20" t="str"/>
      <x:c r="G39" s="20" t="str"/>
      <x:c r="H39" s="20" t="str">
        <x:v>IT Architecture / Service Owner</x:v>
      </x:c>
    </x:row>
    <x:row r="40">
      <x:c r="A40" s="20" t="str"/>
      <x:c r="B40" s="20" t="str"/>
      <x:c r="C40" s="20" t="str"/>
      <x:c r="D40" s="20" t="str"/>
      <x:c r="E40" s="20" t="str"/>
      <x:c r="F40" s="20" t="str"/>
      <x:c r="G40" s="20" t="str"/>
      <x:c r="H40" s="20" t="str">
        <x:v>IT Asset Manager</x:v>
      </x:c>
    </x:row>
    <x:row r="41">
      <x:c r="A41" s="20" t="str"/>
      <x:c r="B41" s="20" t="str"/>
      <x:c r="C41" s="20" t="str"/>
      <x:c r="D41" s="20" t="str"/>
      <x:c r="E41" s="20" t="str"/>
      <x:c r="F41" s="20" t="str"/>
      <x:c r="G41" s="20" t="str"/>
      <x:c r="H41" s="20" t="str">
        <x:v>IT Manager / Asset Owner</x:v>
      </x:c>
    </x:row>
    <x:row r="42">
      <x:c r="A42" s="20" t="str"/>
      <x:c r="B42" s="20" t="str"/>
      <x:c r="C42" s="20" t="str"/>
      <x:c r="D42" s="20" t="str"/>
      <x:c r="E42" s="20" t="str"/>
      <x:c r="F42" s="20" t="str"/>
      <x:c r="G42" s="20" t="str"/>
      <x:c r="H42" s="20" t="str">
        <x:v>IT Operations</x:v>
      </x:c>
    </x:row>
    <x:row r="43">
      <x:c r="A43" s="20" t="str"/>
      <x:c r="B43" s="20" t="str"/>
      <x:c r="C43" s="20" t="str"/>
      <x:c r="D43" s="20" t="str"/>
      <x:c r="E43" s="20" t="str"/>
      <x:c r="F43" s="20" t="str"/>
      <x:c r="G43" s="20" t="str"/>
      <x:c r="H43" s="20" t="str">
        <x:v>IT Operations / BCP Manager</x:v>
      </x:c>
    </x:row>
    <x:row r="44">
      <x:c r="A44" s="20" t="str"/>
      <x:c r="B44" s="20" t="str"/>
      <x:c r="C44" s="20" t="str"/>
      <x:c r="D44" s="20" t="str"/>
      <x:c r="E44" s="20" t="str"/>
      <x:c r="F44" s="20" t="str"/>
      <x:c r="G44" s="20" t="str"/>
      <x:c r="H44" s="20" t="str">
        <x:v>IT Operations / Backup Owner</x:v>
      </x:c>
    </x:row>
    <x:row r="45">
      <x:c r="A45" s="20" t="str"/>
      <x:c r="B45" s="20" t="str"/>
      <x:c r="C45" s="20" t="str"/>
      <x:c r="D45" s="20" t="str"/>
      <x:c r="E45" s="20" t="str"/>
      <x:c r="F45" s="20" t="str"/>
      <x:c r="G45" s="20" t="str"/>
      <x:c r="H45" s="20" t="str">
        <x:v>IT Operations / Change Manager</x:v>
      </x:c>
    </x:row>
    <x:row r="46">
      <x:c r="A46" s="20" t="str"/>
      <x:c r="B46" s="20" t="str"/>
      <x:c r="C46" s="20" t="str"/>
      <x:c r="D46" s="20" t="str"/>
      <x:c r="E46" s="20" t="str"/>
      <x:c r="F46" s="20" t="str"/>
      <x:c r="G46" s="20" t="str"/>
      <x:c r="H46" s="20" t="str">
        <x:v>IT Operations / Facilities</x:v>
      </x:c>
    </x:row>
    <x:row r="47">
      <x:c r="A47" s="20" t="str"/>
      <x:c r="B47" s="20" t="str"/>
      <x:c r="C47" s="20" t="str"/>
      <x:c r="D47" s="20" t="str"/>
      <x:c r="E47" s="20" t="str"/>
      <x:c r="F47" s="20" t="str"/>
      <x:c r="G47" s="20" t="str"/>
      <x:c r="H47" s="20" t="str">
        <x:v>IT Operations / IAM Owner</x:v>
      </x:c>
    </x:row>
    <x:row r="48">
      <x:c r="A48" s="20" t="str"/>
      <x:c r="B48" s="20" t="str"/>
      <x:c r="C48" s="20" t="str"/>
      <x:c r="D48" s="20" t="str"/>
      <x:c r="E48" s="20" t="str"/>
      <x:c r="F48" s="20" t="str"/>
      <x:c r="G48" s="20" t="str"/>
      <x:c r="H48" s="20" t="str">
        <x:v>IT Operations / Security</x:v>
      </x:c>
    </x:row>
    <x:row r="49">
      <x:c r="A49" s="20" t="str"/>
      <x:c r="B49" s="20" t="str"/>
      <x:c r="C49" s="20" t="str"/>
      <x:c r="D49" s="20" t="str"/>
      <x:c r="E49" s="20" t="str"/>
      <x:c r="F49" s="20" t="str"/>
      <x:c r="G49" s="20" t="str"/>
      <x:c r="H49" s="20" t="str">
        <x:v>IT Security</x:v>
      </x:c>
    </x:row>
    <x:row r="50">
      <x:c r="A50" s="20" t="str"/>
      <x:c r="B50" s="20" t="str"/>
      <x:c r="C50" s="20" t="str"/>
      <x:c r="D50" s="20" t="str"/>
      <x:c r="E50" s="20" t="str"/>
      <x:c r="F50" s="20" t="str"/>
      <x:c r="G50" s="20" t="str"/>
      <x:c r="H50" s="20" t="str">
        <x:v>IT Security / Data Owner</x:v>
      </x:c>
    </x:row>
    <x:row r="51">
      <x:c r="A51" s="20" t="str"/>
      <x:c r="B51" s="20" t="str"/>
      <x:c r="C51" s="20" t="str"/>
      <x:c r="D51" s="20" t="str"/>
      <x:c r="E51" s="20" t="str"/>
      <x:c r="F51" s="20" t="str"/>
      <x:c r="G51" s="20" t="str"/>
      <x:c r="H51" s="20" t="str">
        <x:v>IT Security / IAM Owner</x:v>
      </x:c>
    </x:row>
    <x:row r="52">
      <x:c r="A52" s="20" t="str"/>
      <x:c r="B52" s="20" t="str"/>
      <x:c r="C52" s="20" t="str"/>
      <x:c r="D52" s="20" t="str"/>
      <x:c r="E52" s="20" t="str"/>
      <x:c r="F52" s="20" t="str"/>
      <x:c r="G52" s="20" t="str"/>
      <x:c r="H52" s="20" t="str">
        <x:v>IT Security / Infrastructure Owner</x:v>
      </x:c>
    </x:row>
    <x:row r="53">
      <x:c r="A53" s="20" t="str"/>
      <x:c r="B53" s="20" t="str"/>
      <x:c r="C53" s="20" t="str"/>
      <x:c r="D53" s="20" t="str"/>
      <x:c r="E53" s="20" t="str"/>
      <x:c r="F53" s="20" t="str"/>
      <x:c r="G53" s="20" t="str"/>
      <x:c r="H53" s="20" t="str">
        <x:v>Incident Manager</x:v>
      </x:c>
    </x:row>
    <x:row r="54">
      <x:c r="A54" s="20" t="str"/>
      <x:c r="B54" s="20" t="str"/>
      <x:c r="C54" s="20" t="str"/>
      <x:c r="D54" s="20" t="str"/>
      <x:c r="E54" s="20" t="str"/>
      <x:c r="F54" s="20" t="str"/>
      <x:c r="G54" s="20" t="str"/>
      <x:c r="H54" s="20" t="str">
        <x:v>Incident Manager / Compliance Manager</x:v>
      </x:c>
    </x:row>
    <x:row r="55">
      <x:c r="A55" s="20" t="str"/>
      <x:c r="B55" s="20" t="str"/>
      <x:c r="C55" s="20" t="str"/>
      <x:c r="D55" s="20" t="str"/>
      <x:c r="E55" s="20" t="str"/>
      <x:c r="F55" s="20" t="str"/>
      <x:c r="G55" s="20" t="str"/>
      <x:c r="H55" s="20" t="str">
        <x:v>Internal Audit / CISO</x:v>
      </x:c>
    </x:row>
    <x:row r="56">
      <x:c r="A56" s="20" t="str"/>
      <x:c r="B56" s="20" t="str"/>
      <x:c r="C56" s="20" t="str"/>
      <x:c r="D56" s="20" t="str"/>
      <x:c r="E56" s="20" t="str"/>
      <x:c r="F56" s="20" t="str"/>
      <x:c r="G56" s="20" t="str"/>
      <x:c r="H56" s="20" t="str">
        <x:v>Legal / Third-Party Risk Manager</x:v>
      </x:c>
    </x:row>
    <x:row r="57">
      <x:c r="A57" s="20" t="str"/>
      <x:c r="B57" s="20" t="str"/>
      <x:c r="C57" s="20" t="str"/>
      <x:c r="D57" s="20" t="str"/>
      <x:c r="E57" s="20" t="str"/>
      <x:c r="F57" s="20" t="str"/>
      <x:c r="G57" s="20" t="str"/>
      <x:c r="H57" s="20" t="str">
        <x:v>Management Body / CISO</x:v>
      </x:c>
    </x:row>
    <x:row r="58">
      <x:c r="A58" s="20" t="str"/>
      <x:c r="B58" s="20" t="str"/>
      <x:c r="C58" s="20" t="str"/>
      <x:c r="D58" s="20" t="str"/>
      <x:c r="E58" s="20" t="str"/>
      <x:c r="F58" s="20" t="str"/>
      <x:c r="G58" s="20" t="str"/>
      <x:c r="H58" s="20" t="str">
        <x:v>Management Body / Risk Manager</x:v>
      </x:c>
    </x:row>
    <x:row r="59">
      <x:c r="A59" s="20" t="str"/>
      <x:c r="B59" s="20" t="str"/>
      <x:c r="C59" s="20" t="str"/>
      <x:c r="D59" s="20" t="str"/>
      <x:c r="E59" s="20" t="str"/>
      <x:c r="F59" s="20" t="str"/>
      <x:c r="G59" s="20" t="str"/>
      <x:c r="H59" s="20" t="str">
        <x:v>Network Security</x:v>
      </x:c>
    </x:row>
    <x:row r="60">
      <x:c r="A60" s="20" t="str"/>
      <x:c r="B60" s="20" t="str"/>
      <x:c r="C60" s="20" t="str"/>
      <x:c r="D60" s="20" t="str"/>
      <x:c r="E60" s="20" t="str"/>
      <x:c r="F60" s="20" t="str"/>
      <x:c r="G60" s="20" t="str"/>
      <x:c r="H60" s="20" t="str">
        <x:v>Network Security / Application Owner</x:v>
      </x:c>
    </x:row>
    <x:row r="61">
      <x:c r="A61" s="20" t="str"/>
      <x:c r="B61" s="20" t="str"/>
      <x:c r="C61" s="20" t="str"/>
      <x:c r="D61" s="20" t="str"/>
      <x:c r="E61" s="20" t="str"/>
      <x:c r="F61" s="20" t="str"/>
      <x:c r="G61" s="20" t="str"/>
      <x:c r="H61" s="20" t="str">
        <x:v>Network Security / IAM Owner</x:v>
      </x:c>
    </x:row>
    <x:row r="62">
      <x:c r="A62" s="20" t="str"/>
      <x:c r="B62" s="20" t="str"/>
      <x:c r="C62" s="20" t="str"/>
      <x:c r="D62" s="20" t="str"/>
      <x:c r="E62" s="20" t="str"/>
      <x:c r="F62" s="20" t="str"/>
      <x:c r="G62" s="20" t="str"/>
      <x:c r="H62" s="20" t="str">
        <x:v>Network Security / IT Operations</x:v>
      </x:c>
    </x:row>
    <x:row r="63">
      <x:c r="A63" s="20" t="str"/>
      <x:c r="B63" s="20" t="str"/>
      <x:c r="C63" s="20" t="str"/>
      <x:c r="D63" s="20" t="str"/>
      <x:c r="E63" s="20" t="str"/>
      <x:c r="F63" s="20" t="str"/>
      <x:c r="G63" s="20" t="str"/>
      <x:c r="H63" s="20" t="str">
        <x:v>Network Security / Service Owner</x:v>
      </x:c>
    </x:row>
    <x:row r="64">
      <x:c r="A64" s="20" t="str"/>
      <x:c r="B64" s="20" t="str"/>
      <x:c r="C64" s="20" t="str"/>
      <x:c r="D64" s="20" t="str"/>
      <x:c r="E64" s="20" t="str"/>
      <x:c r="F64" s="20" t="str"/>
      <x:c r="G64" s="20" t="str"/>
      <x:c r="H64" s="20" t="str">
        <x:v>OT Security Owner / Incident Manager</x:v>
      </x:c>
    </x:row>
    <x:row r="65">
      <x:c r="A65" s="20" t="str"/>
      <x:c r="B65" s="20" t="str"/>
      <x:c r="C65" s="20" t="str"/>
      <x:c r="D65" s="20" t="str"/>
      <x:c r="E65" s="20" t="str"/>
      <x:c r="F65" s="20" t="str"/>
      <x:c r="G65" s="20" t="str"/>
      <x:c r="H65" s="20" t="str">
        <x:v>OT Security Owner / Network Security</x:v>
      </x:c>
    </x:row>
    <x:row r="66">
      <x:c r="A66" s="20" t="str"/>
      <x:c r="B66" s="20" t="str"/>
      <x:c r="C66" s="20" t="str"/>
      <x:c r="D66" s="20" t="str"/>
      <x:c r="E66" s="20" t="str"/>
      <x:c r="F66" s="20" t="str"/>
      <x:c r="G66" s="20" t="str"/>
      <x:c r="H66" s="20" t="str">
        <x:v>OT Security Owner / Operations</x:v>
      </x:c>
    </x:row>
    <x:row r="67">
      <x:c r="A67" s="20" t="str"/>
      <x:c r="B67" s="20" t="str"/>
      <x:c r="C67" s="20" t="str"/>
      <x:c r="D67" s="20" t="str"/>
      <x:c r="E67" s="20" t="str"/>
      <x:c r="F67" s="20" t="str"/>
      <x:c r="G67" s="20" t="str"/>
      <x:c r="H67" s="20" t="str">
        <x:v>OT Security Owner / SOC Manager</x:v>
      </x:c>
    </x:row>
    <x:row r="68">
      <x:c r="A68" s="20" t="str"/>
      <x:c r="B68" s="20" t="str"/>
      <x:c r="C68" s="20" t="str"/>
      <x:c r="D68" s="20" t="str"/>
      <x:c r="E68" s="20" t="str"/>
      <x:c r="F68" s="20" t="str"/>
      <x:c r="G68" s="20" t="str"/>
      <x:c r="H68" s="20" t="str">
        <x:v>OT Security Owner / Third-Party Risk Manager</x:v>
      </x:c>
    </x:row>
    <x:row r="69">
      <x:c r="A69" s="20" t="str"/>
      <x:c r="B69" s="20" t="str"/>
      <x:c r="C69" s="20" t="str"/>
      <x:c r="D69" s="20" t="str"/>
      <x:c r="E69" s="20" t="str"/>
      <x:c r="F69" s="20" t="str"/>
      <x:c r="G69" s="20" t="str"/>
      <x:c r="H69" s="20" t="str">
        <x:v>Procurement / IT Asset Manager</x:v>
      </x:c>
    </x:row>
    <x:row r="70">
      <x:c r="A70" s="20" t="str"/>
      <x:c r="B70" s="20" t="str"/>
      <x:c r="C70" s="20" t="str"/>
      <x:c r="D70" s="20" t="str"/>
      <x:c r="E70" s="20" t="str"/>
      <x:c r="F70" s="20" t="str"/>
      <x:c r="G70" s="20" t="str"/>
      <x:c r="H70" s="20" t="str">
        <x:v>Procurement / Legal</x:v>
      </x:c>
    </x:row>
    <x:row r="71">
      <x:c r="A71" s="20" t="str"/>
      <x:c r="B71" s="20" t="str"/>
      <x:c r="C71" s="20" t="str"/>
      <x:c r="D71" s="20" t="str"/>
      <x:c r="E71" s="20" t="str"/>
      <x:c r="F71" s="20" t="str"/>
      <x:c r="G71" s="20" t="str"/>
      <x:c r="H71" s="20" t="str">
        <x:v>Risk Manager</x:v>
      </x:c>
    </x:row>
    <x:row r="72">
      <x:c r="A72" s="20" t="str"/>
      <x:c r="B72" s="20" t="str"/>
      <x:c r="C72" s="20" t="str"/>
      <x:c r="D72" s="20" t="str"/>
      <x:c r="E72" s="20" t="str"/>
      <x:c r="F72" s="20" t="str"/>
      <x:c r="G72" s="20" t="str"/>
      <x:c r="H72" s="20" t="str">
        <x:v>SOC Manager</x:v>
      </x:c>
    </x:row>
    <x:row r="73">
      <x:c r="A73" s="20" t="str"/>
      <x:c r="B73" s="20" t="str"/>
      <x:c r="C73" s="20" t="str"/>
      <x:c r="D73" s="20" t="str"/>
      <x:c r="E73" s="20" t="str"/>
      <x:c r="F73" s="20" t="str"/>
      <x:c r="G73" s="20" t="str"/>
      <x:c r="H73" s="20" t="str">
        <x:v>SOC Manager / IT Security</x:v>
      </x:c>
    </x:row>
    <x:row r="74">
      <x:c r="A74" s="20" t="str"/>
      <x:c r="B74" s="20" t="str"/>
      <x:c r="C74" s="20" t="str"/>
      <x:c r="D74" s="20" t="str"/>
      <x:c r="E74" s="20" t="str"/>
      <x:c r="F74" s="20" t="str"/>
      <x:c r="G74" s="20" t="str"/>
      <x:c r="H74" s="20" t="str">
        <x:v>SOC Manager / Legal</x:v>
      </x:c>
    </x:row>
    <x:row r="75">
      <x:c r="A75" s="20" t="str"/>
      <x:c r="B75" s="20" t="str"/>
      <x:c r="C75" s="20" t="str"/>
      <x:c r="D75" s="20" t="str"/>
      <x:c r="E75" s="20" t="str"/>
      <x:c r="F75" s="20" t="str"/>
      <x:c r="G75" s="20" t="str"/>
      <x:c r="H75" s="20" t="str">
        <x:v>SOC Manager / Threat Intel Lead</x:v>
      </x:c>
    </x:row>
    <x:row r="76">
      <x:c r="A76" s="20" t="str"/>
      <x:c r="B76" s="20" t="str"/>
      <x:c r="C76" s="20" t="str"/>
      <x:c r="D76" s="20" t="str"/>
      <x:c r="E76" s="20" t="str"/>
      <x:c r="F76" s="20" t="str"/>
      <x:c r="G76" s="20" t="str"/>
      <x:c r="H76" s="20" t="str">
        <x:v>Security Awareness Lead / HR</x:v>
      </x:c>
    </x:row>
    <x:row r="77">
      <x:c r="A77" s="20" t="str"/>
      <x:c r="B77" s="20" t="str"/>
      <x:c r="C77" s="20" t="str"/>
      <x:c r="D77" s="20" t="str"/>
      <x:c r="E77" s="20" t="str"/>
      <x:c r="F77" s="20" t="str"/>
      <x:c r="G77" s="20" t="str"/>
      <x:c r="H77" s="20" t="str">
        <x:v>Security Awareness Lead / SOC Manager</x:v>
      </x:c>
    </x:row>
    <x:row r="78">
      <x:c r="A78" s="20" t="str"/>
      <x:c r="B78" s="20" t="str"/>
      <x:c r="C78" s="20" t="str"/>
      <x:c r="D78" s="20" t="str"/>
      <x:c r="E78" s="20" t="str"/>
      <x:c r="F78" s="20" t="str"/>
      <x:c r="G78" s="20" t="str"/>
      <x:c r="H78" s="20" t="str">
        <x:v>Security Operations / Network Security</x:v>
      </x:c>
    </x:row>
    <x:row r="79">
      <x:c r="A79" s="20" t="str"/>
      <x:c r="B79" s="20" t="str"/>
      <x:c r="C79" s="20" t="str"/>
      <x:c r="D79" s="20" t="str"/>
      <x:c r="E79" s="20" t="str"/>
      <x:c r="F79" s="20" t="str"/>
      <x:c r="G79" s="20" t="str"/>
      <x:c r="H79" s="20" t="str">
        <x:v>Service Desk Manager / IAM Owner</x:v>
      </x:c>
    </x:row>
    <x:row r="80">
      <x:c r="A80" s="20" t="str"/>
      <x:c r="B80" s="20" t="str"/>
      <x:c r="C80" s="20" t="str"/>
      <x:c r="D80" s="20" t="str"/>
      <x:c r="E80" s="20" t="str"/>
      <x:c r="F80" s="20" t="str"/>
      <x:c r="G80" s="20" t="str"/>
      <x:c r="H80" s="20" t="str">
        <x:v>Third-Party Risk Manager</x:v>
      </x:c>
    </x:row>
    <x:row r="81">
      <x:c r="A81" s="20" t="str"/>
      <x:c r="B81" s="20" t="str"/>
      <x:c r="C81" s="20" t="str"/>
      <x:c r="D81" s="20" t="str"/>
      <x:c r="E81" s="20" t="str"/>
      <x:c r="F81" s="20" t="str"/>
      <x:c r="G81" s="20" t="str"/>
      <x:c r="H81" s="20" t="str">
        <x:v>Third-Party Risk Manager / Business Continuity Manager</x:v>
      </x:c>
    </x:row>
    <x:row r="82">
      <x:c r="A82" s="20" t="str"/>
      <x:c r="B82" s="20" t="str"/>
      <x:c r="C82" s="20" t="str"/>
      <x:c r="D82" s="20" t="str"/>
      <x:c r="E82" s="20" t="str"/>
      <x:c r="F82" s="20" t="str"/>
      <x:c r="G82" s="20" t="str"/>
      <x:c r="H82" s="20" t="str">
        <x:v>Third-Party Risk Manager / Legal</x:v>
      </x:c>
    </x:row>
    <x:row r="83">
      <x:c r="A83" s="20" t="str"/>
      <x:c r="B83" s="20" t="str"/>
      <x:c r="C83" s="20" t="str"/>
      <x:c r="D83" s="20" t="str"/>
      <x:c r="E83" s="20" t="str"/>
      <x:c r="F83" s="20" t="str"/>
      <x:c r="G83" s="20" t="str"/>
      <x:c r="H83" s="20" t="str">
        <x:v>Third-Party Risk Manager / Procurement</x:v>
      </x:c>
    </x:row>
    <x:row r="84">
      <x:c r="A84" s="20" t="str"/>
      <x:c r="B84" s="20" t="str"/>
      <x:c r="C84" s="20" t="str"/>
      <x:c r="D84" s="20" t="str"/>
      <x:c r="E84" s="20" t="str"/>
      <x:c r="F84" s="20" t="str"/>
      <x:c r="G84" s="20" t="str"/>
      <x:c r="H84" s="20" t="str">
        <x:v>Third-Party Risk Manager / Service Owner</x:v>
      </x:c>
    </x:row>
  </x:sheetData>
  <x:pageMargins left="0.7" right="0.7" top="0.75" bottom="0.75" header="0.3" footer="0.3"/>
  <x:tableParts count="1">
    <x:tablePart xmlns:r="http://schemas.openxmlformats.org/officeDocument/2006/relationships" r:id="Rd0deff3264b44d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8" hidden="0" customWidth="1"/>
    <x:col min="3" max="3" width="70" hidden="0" customWidth="1"/>
  </x:cols>
  <x:sheetData>
    <x:row r="1">
      <x:c r="A1" s="16" t="str">
        <x:v>Reference</x:v>
      </x:c>
      <x:c r="B1" s="16" t="str">
        <x:v>URL</x:v>
      </x:c>
      <x:c r="C1" s="16" t="str">
        <x:v>Use in workbook</x:v>
      </x:c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</x:row>
    <x:row r="2">
      <x:c r="A2" s="12" t="str">
        <x:v>NIS2 Directive (EU) 2022/2555 official text</x:v>
      </x:c>
      <x:c r="B2" s="12" t="str">
        <x:v>https://eur-lex.europa.eu/eli/dir/2022/2555/oj/eng</x:v>
      </x:c>
      <x:c r="C2" s="12" t="str">
        <x:v>Primary legal reference for Article 21 mapping</x:v>
      </x:c>
    </x:row>
    <x:row r="3">
      <x:c r="A3" s="12" t="str">
        <x:v>ENISA NIS2 Technical Implementation Guidance</x:v>
      </x:c>
      <x:c r="B3" s="12" t="str">
        <x:v>https://www.enisa.europa.eu/publications/nis2-technical-implementation-guidance</x:v>
      </x:c>
      <x:c r="C3" s="12" t="str">
        <x:v>Technical guidance reference for risk management and cybersecurity measures</x:v>
      </x:c>
    </x:row>
    <x:row r="4">
      <x:c r="A4" s="12" t="str">
        <x:v>CyberResilience360 import note</x:v>
      </x:c>
      <x:c r="B4" s="12" t="str"/>
      <x:c r="C4" s="12" t="str">
        <x:v>This workbook is a baseline library. Validate applicability, scoring and treatment with each organization.</x:v>
      </x:c>
    </x:row>
  </x:sheetData>
  <x:pageMargins left="0.7" right="0.7" top="0.75" bottom="0.75" header="0.3" footer="0.3"/>
</x:worksheet>
</file>
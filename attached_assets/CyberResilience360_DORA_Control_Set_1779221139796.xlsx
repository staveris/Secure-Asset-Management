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23a3c58e2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8084cc6a7d430f"/>
    <x:sheet xmlns:r="http://schemas.openxmlformats.org/officeDocument/2006/relationships" name="DORA Control Library" sheetId="2" r:id="Rd342a88734a2492b"/>
    <x:sheet xmlns:r="http://schemas.openxmlformats.org/officeDocument/2006/relationships" name="Applicability Logic" sheetId="3" r:id="Rabc10fadf8aa4498"/>
    <x:sheet xmlns:r="http://schemas.openxmlformats.org/officeDocument/2006/relationships" name="References" sheetId="4" r:id="R93c3209ee19e4e5f"/>
    <x:sheet xmlns:r="http://schemas.openxmlformats.org/officeDocument/2006/relationships" name="Platform Fields" sheetId="5" r:id="Rd1befaa4ce914957"/>
    <x:sheet xmlns:r="http://schemas.openxmlformats.org/officeDocument/2006/relationships" name="Lists" sheetId="6" r:id="R4cda756be9e7492c"/>
    <x:sheet xmlns:r="http://schemas.openxmlformats.org/officeDocument/2006/relationships" name="Control Tags" sheetId="7" r:id="Rf57db89c1c18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cafd577ba4a67" /><Relationship Type="http://schemas.openxmlformats.org/officeDocument/2006/relationships/theme" Target="/xl/theme/theme1.xml" Id="R4e0f82e08b454e7a" /><Relationship Type="http://schemas.openxmlformats.org/officeDocument/2006/relationships/sharedStrings" Target="/xl/sharedStrings.xml" Id="R795759427ff74b0e" /><Relationship Type="http://schemas.openxmlformats.org/officeDocument/2006/relationships/worksheet" Target="/xl/worksheets/sheet1.xml" Id="Rb98084cc6a7d430f" /><Relationship Type="http://schemas.openxmlformats.org/officeDocument/2006/relationships/worksheet" Target="/xl/worksheets/sheet2.xml" Id="Rd342a88734a2492b" /><Relationship Type="http://schemas.openxmlformats.org/officeDocument/2006/relationships/worksheet" Target="/xl/worksheets/sheet3.xml" Id="Rabc10fadf8aa4498" /><Relationship Type="http://schemas.openxmlformats.org/officeDocument/2006/relationships/worksheet" Target="/xl/worksheets/sheet4.xml" Id="R93c3209ee19e4e5f" /><Relationship Type="http://schemas.openxmlformats.org/officeDocument/2006/relationships/worksheet" Target="/xl/worksheets/sheet5.xml" Id="Rd1befaa4ce914957" /><Relationship Type="http://schemas.openxmlformats.org/officeDocument/2006/relationships/worksheet" Target="/xl/worksheets/sheet6.xml" Id="R4cda756be9e7492c" /><Relationship Type="http://schemas.openxmlformats.org/officeDocument/2006/relationships/worksheet" Target="/xl/worksheets/sheet7.xml" Id="Rf57db89c1c1845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b44424444e41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DORA 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cat>
            <c:strRef>
              <c:f>'Summary'!$A$8:$A$20</c:f>
              <c:strCache>
                <c:ptCount val="0"/>
              </c:strCache>
            </c:strRef>
          </c:cat>
          <c:val>
            <c:numRef>
              <c:f>'Summary'!$B$8:$B$20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b44424444e41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ORAControlsTable" displayName="DORAControlsTable" ref="A1:O156" headerRowCount="1">
  <x:tableColumns count="15">
    <x:tableColumn id="1" name="Control_ID"/>
    <x:tableColumn id="2" name="Domain"/>
    <x:tableColumn id="3" name="Control_Title"/>
    <x:tableColumn id="4" name="Control_Objective"/>
    <x:tableColumn id="5" name="Platform_Requirement"/>
    <x:tableColumn id="6" name="Applicability_Tags"/>
    <x:tableColumn id="7" name="DORA_Reference"/>
    <x:tableColumn id="8" name="Level_2_Reference"/>
    <x:tableColumn id="9" name="Evidence_Artifacts"/>
    <x:tableColumn id="10" name="Suggested_Frequency"/>
    <x:tableColumn id="11" name="Typical_Owner"/>
    <x:tableColumn id="12" name="Default_Status"/>
    <x:tableColumn id="13" name="Priority"/>
    <x:tableColumn id="14" name="Source_URL"/>
    <x:tableColumn id="15" name="Implementation_Notes"/>
  </x:tableColumns>
  <x:tableStyleInfo name="TableStyleMedium2" showRowStripes="1"/>
</x:table>
</file>

<file path=xl/tables/table2.xml><?xml version="1.0" encoding="utf-8"?>
<x:table xmlns:x="http://schemas.openxmlformats.org/spreadsheetml/2006/main" id="2" name="ApplicabilityTable" displayName="ApplicabilityTable" ref="A1:E15" headerRowCount="1">
  <x:tableColumns count="5">
    <x:tableColumn id="1" name="Platform_Field"/>
    <x:tableColumn id="2" name="Purpose"/>
    <x:tableColumn id="3" name="Question / Rule"/>
    <x:tableColumn id="4" name="Recommended Logic"/>
    <x:tableColumn id="5" name="Feature / Controls Enabled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sTable" displayName="ReferencesTable" ref="A1:C13" headerRowCount="1">
  <x:tableColumns count="3">
    <x:tableColumn id="1" name="Reference"/>
    <x:tableColumn id="2" name="Why it matters in the platform"/>
    <x:tableColumn id="3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PlatformFieldsTable" displayName="PlatformFieldsTable" ref="A1:C13" headerRowCount="1">
  <x:tableColumns count="3">
    <x:tableColumn id="1" name="Object / Table"/>
    <x:tableColumn id="2" name="Key Fields"/>
    <x:tableColumn id="3" name="Purpose"/>
  </x:tableColumns>
  <x:tableStyleInfo name="TableStyleMedium2" showRowStripes="1"/>
</x:table>
</file>

<file path=xl/tables/table5.xml><?xml version="1.0" encoding="utf-8"?>
<x:table xmlns:x="http://schemas.openxmlformats.org/spreadsheetml/2006/main" id="5" name="ControlTagsTable" displayName="ControlTagsTable" ref="A1:B290" headerRowCount="1">
  <x:tableColumns count="2">
    <x:tableColumn id="1" name="Control_ID"/>
    <x:tableColumn id="2" name="T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106b6e3bd42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036a0e415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4fa92f9fe943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20df95b661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ffe366174845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3b971f331f48e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6" hidden="0" customWidth="1"/>
    <x:col min="4" max="4" width="30" hidden="0" customWidth="1"/>
  </x:cols>
  <x:sheetData>
    <x:row r="1">
      <x:c r="A1" s="17" t="str">
        <x:v>CyberResilience360 - DORA Control Set</x:v>
      </x:c>
      <x:c r="B1" t="str"/>
      <x:c r="C1" t="str"/>
      <x:c r="D1" t="str"/>
    </x:row>
    <x:row r="2">
      <x:c r="A2" s="12" t="str">
        <x:v>Prepared for</x:v>
      </x:c>
      <x:c r="B2" s="12" t="str">
        <x:v>Tools of Tech</x:v>
      </x:c>
      <x:c r="C2" s="12" t="str">
        <x:v>Date</x:v>
      </x:c>
      <x:c r="D2" s="12" t="str">
        <x:v>2026-05-19</x:v>
      </x:c>
    </x:row>
    <x:row r="3">
      <x:c r="A3" s="12" t="str">
        <x:v>Total controls</x:v>
      </x:c>
      <x:c r="B3" s="12" t="n">
        <x:f>COUNTA('DORA Control Library'!A2:A156)</x:f>
        <x:v>155</x:v>
      </x:c>
      <x:c r="C3" s="12" t="str">
        <x:v>Source</x:v>
      </x:c>
      <x:c r="D3" s="12" t="str">
        <x:v>DORA Regulation and Level 2 acts</x:v>
      </x:c>
    </x:row>
    <x:row r="4">
      <x:c r="A4" s="12" t="str">
        <x:v>Full DORA controls</x:v>
      </x:c>
      <x:c r="B4" s="12" t="n">
        <x:f>COUNTIF('Control Tags'!B2:B290,"DORA_FULL")</x:f>
        <x:v>128</x:v>
      </x:c>
      <x:c r="C4" s="12" t="str">
        <x:v>Simplified controls</x:v>
      </x:c>
      <x:c r="D4" s="12" t="n">
        <x:f>COUNTIF('Control Tags'!B2:B290,"DORA_SIMPLIFIED")</x:f>
        <x:v>90</x:v>
      </x:c>
    </x:row>
    <x:row r="5">
      <x:c r="A5" s="12" t="str">
        <x:v>TLPT controls</x:v>
      </x:c>
      <x:c r="B5" s="12" t="n">
        <x:f>COUNTIF('Control Tags'!B2:B290,"TLPT_SELECTED")</x:f>
        <x:v>9</x:v>
      </x:c>
      <x:c r="C5" s="12" t="str">
        <x:v>Third-party controls</x:v>
      </x:c>
      <x:c r="D5" s="12" t="n">
        <x:f>COUNTIF('Control Tags'!B2:B290,"THIRD_PARTY")</x:f>
        <x:v>32</x:v>
      </x:c>
    </x:row>
    <x:row r="6">
      <x:c r="A6" t="str"/>
      <x:c r="B6" t="str"/>
      <x:c r="C6" t="str"/>
      <x:c r="D6" t="str"/>
    </x:row>
    <x:row r="7">
      <x:c r="A7" s="6" t="str">
        <x:v>Domain</x:v>
      </x:c>
      <x:c r="B7" s="6" t="str">
        <x:v>Control Count</x:v>
      </x:c>
      <x:c r="C7" s="6" t="str">
        <x:v>Primary Use</x:v>
      </x:c>
      <x:c r="D7" s="6" t="str">
        <x:v>Platform Module</x:v>
      </x:c>
    </x:row>
    <x:row r="8">
      <x:c r="A8" s="12" t="str">
        <x:v>01 Governance &amp; Strategy</x:v>
      </x:c>
      <x:c r="B8" s="12" t="n">
        <x:f>COUNTIF('DORA Control Library'!B2:B156,A8)</x:f>
        <x:v>12</x:v>
      </x:c>
      <x:c r="C8" s="12" t="str">
        <x:v>Board accountability, policy governance, management reporting</x:v>
      </x:c>
      <x:c r="D8" s="12" t="str">
        <x:v>Governance</x:v>
      </x:c>
    </x:row>
    <x:row r="9">
      <x:c r="A9" s="12" t="str">
        <x:v>02 ICT Risk Management Framework</x:v>
      </x:c>
      <x:c r="B9" s="12" t="n">
        <x:f>COUNTIF('DORA Control Library'!B2:B156,A9)</x:f>
        <x:v>12</x:v>
      </x:c>
      <x:c r="C9" s="12" t="str">
        <x:v>ICT RMF, risk register, tolerance, review report</x:v>
      </x:c>
      <x:c r="D9" s="12" t="str">
        <x:v>Risk</x:v>
      </x:c>
    </x:row>
    <x:row r="10">
      <x:c r="A10" s="12" t="str">
        <x:v>03 Identification &amp; Asset Management</x:v>
      </x:c>
      <x:c r="B10" s="12" t="n">
        <x:f>COUNTIF('DORA Control Library'!B2:B156,A10)</x:f>
        <x:v>10</x:v>
      </x:c>
      <x:c r="C10" s="12" t="str">
        <x:v>Assets, data, critical functions and dependencies</x:v>
      </x:c>
      <x:c r="D10" s="12" t="str">
        <x:v>Asset &amp; Function Register</x:v>
      </x:c>
    </x:row>
    <x:row r="11">
      <x:c r="A11" s="12" t="str">
        <x:v>04 Protection &amp; Prevention</x:v>
      </x:c>
      <x:c r="B11" s="12" t="n">
        <x:f>COUNTIF('DORA Control Library'!B2:B156,A11)</x:f>
        <x:v>18</x:v>
      </x:c>
      <x:c r="C11" s="12" t="str">
        <x:v>Preventive security and operational controls</x:v>
      </x:c>
      <x:c r="D11" s="12" t="str">
        <x:v>Controls</x:v>
      </x:c>
    </x:row>
    <x:row r="12">
      <x:c r="A12" s="12" t="str">
        <x:v>05 Detection &amp; Monitoring</x:v>
      </x:c>
      <x:c r="B12" s="12" t="n">
        <x:f>COUNTIF('DORA Control Library'!B2:B156,A12)</x:f>
        <x:v>8</x:v>
      </x:c>
      <x:c r="C12" s="12" t="str">
        <x:v>Monitoring, anomaly detection, thresholds and SOC evidence</x:v>
      </x:c>
      <x:c r="D12" s="12" t="str">
        <x:v>Monitoring</x:v>
      </x:c>
    </x:row>
    <x:row r="13">
      <x:c r="A13" s="12" t="str">
        <x:v>06 Incident Management &amp; Reporting</x:v>
      </x:c>
      <x:c r="B13" s="12" t="n">
        <x:f>COUNTIF('DORA Control Library'!B2:B156,A13)</x:f>
        <x:v>15</x:v>
      </x:c>
      <x:c r="C13" s="12" t="str">
        <x:v>Incident classification, major incident reporting and templates</x:v>
      </x:c>
      <x:c r="D13" s="12" t="str">
        <x:v>Incident Reporting</x:v>
      </x:c>
    </x:row>
    <x:row r="14">
      <x:c r="A14" s="12" t="str">
        <x:v>07 Business Continuity &amp; Recovery</x:v>
      </x:c>
      <x:c r="B14" s="12" t="n">
        <x:f>COUNTIF('DORA Control Library'!B2:B156,A14)</x:f>
        <x:v>12</x:v>
      </x:c>
      <x:c r="C14" s="12" t="str">
        <x:v>BCP, backup, restoration and crisis response</x:v>
      </x:c>
      <x:c r="D14" s="12" t="str">
        <x:v>BCM / DR</x:v>
      </x:c>
    </x:row>
    <x:row r="15">
      <x:c r="A15" s="12" t="str">
        <x:v>08 Testing &amp; Assurance</x:v>
      </x:c>
      <x:c r="B15" s="12" t="n">
        <x:f>COUNTIF('DORA Control Library'!B2:B156,A15)</x:f>
        <x:v>17</x:v>
      </x:c>
      <x:c r="C15" s="12" t="str">
        <x:v>Resilience testing and TLPT</x:v>
      </x:c>
      <x:c r="D15" s="12" t="str">
        <x:v>Testing / TLPT</x:v>
      </x:c>
    </x:row>
    <x:row r="16">
      <x:c r="A16" s="12" t="str">
        <x:v>09 ICT Third-Party Risk &amp; Contracts</x:v>
      </x:c>
      <x:c r="B16" s="12" t="n">
        <x:f>COUNTIF('DORA Control Library'!B2:B156,A16)</x:f>
        <x:v>22</x:v>
      </x:c>
      <x:c r="C16" s="12" t="str">
        <x:v>TPRM, contract clauses, concentration and exit</x:v>
      </x:c>
      <x:c r="D16" s="12" t="str">
        <x:v>Supplier Risk</x:v>
      </x:c>
    </x:row>
    <x:row r="17">
      <x:c r="A17" s="12" t="str">
        <x:v>10 Register of Information</x:v>
      </x:c>
      <x:c r="B17" s="12" t="n">
        <x:f>COUNTIF('DORA Control Library'!B2:B156,A17)</x:f>
        <x:v>8</x:v>
      </x:c>
      <x:c r="C17" s="12" t="str">
        <x:v>DORA RoI records and reporting</x:v>
      </x:c>
      <x:c r="D17" s="12" t="str">
        <x:v>Register of Information</x:v>
      </x:c>
    </x:row>
    <x:row r="18">
      <x:c r="A18" s="12" t="str">
        <x:v>11 Information Sharing</x:v>
      </x:c>
      <x:c r="B18" s="12" t="n">
        <x:f>COUNTIF('DORA Control Library'!B2:B156,A18)</x:f>
        <x:v>3</x:v>
      </x:c>
      <x:c r="C18" s="12" t="str">
        <x:v>Optional Article 45 cyber threat sharing arrangements</x:v>
      </x:c>
      <x:c r="D18" s="12" t="str">
        <x:v>Threat Sharing</x:v>
      </x:c>
    </x:row>
    <x:row r="19">
      <x:c r="A19" s="12" t="str">
        <x:v>12 Simplified ICT RMF</x:v>
      </x:c>
      <x:c r="B19" s="12" t="n">
        <x:f>COUNTIF('DORA Control Library'!B2:B156,A19)</x:f>
        <x:v>15</x:v>
      </x:c>
      <x:c r="C19" s="12" t="str">
        <x:v>Article 16 simplified framework controls</x:v>
      </x:c>
      <x:c r="D19" s="12" t="str">
        <x:v>Simplified DORA</x:v>
      </x:c>
    </x:row>
    <x:row r="20">
      <x:c r="A20" s="12" t="str">
        <x:v>13 ICT Provider / CTPP Readiness</x:v>
      </x:c>
      <x:c r="B20" s="12" t="n">
        <x:f>COUNTIF('DORA Control Library'!B2:B156,A20)</x:f>
        <x:v>3</x:v>
      </x:c>
      <x:c r="C20" s="12" t="str">
        <x:v>Provider-side and critical ICT third-party readiness</x:v>
      </x:c>
      <x:c r="D20" s="12" t="str">
        <x:v>Provider Readiness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66106b6e3bd425d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4" hidden="0" customWidth="1"/>
    <x:col min="5" max="5" width="48" hidden="0" customWidth="1"/>
    <x:col min="6" max="6" width="34" hidden="0" customWidth="1"/>
    <x:col min="7" max="7" width="20" hidden="0" customWidth="1"/>
    <x:col min="8" max="8" width="30" hidden="0" customWidth="1"/>
    <x:col min="9" max="9" width="42" hidden="0" customWidth="1"/>
    <x:col min="10" max="10" width="20" hidden="0" customWidth="1"/>
    <x:col min="11" max="11" width="24" hidden="0" customWidth="1"/>
    <x:col min="12" max="12" width="18" hidden="0" customWidth="1"/>
    <x:col min="13" max="13" width="12" hidden="0" customWidth="1"/>
    <x:col min="14" max="14" width="44" hidden="0" customWidth="1"/>
    <x:col min="15" max="15" width="48" hidden="0" customWidth="1"/>
  </x:cols>
  <x:sheetData>
    <x:row r="1">
      <x:c r="A1" s="6" t="str">
        <x:v>Control_ID</x:v>
      </x:c>
      <x:c r="B1" s="6" t="str">
        <x:v>Domain</x:v>
      </x:c>
      <x:c r="C1" s="6" t="str">
        <x:v>Control_Title</x:v>
      </x:c>
      <x:c r="D1" s="6" t="str">
        <x:v>Control_Objective</x:v>
      </x:c>
      <x:c r="E1" s="6" t="str">
        <x:v>Platform_Requirement</x:v>
      </x:c>
      <x:c r="F1" s="6" t="str">
        <x:v>Applicability_Tags</x:v>
      </x:c>
      <x:c r="G1" s="6" t="str">
        <x:v>DORA_Reference</x:v>
      </x:c>
      <x:c r="H1" s="6" t="str">
        <x:v>Level_2_Reference</x:v>
      </x:c>
      <x:c r="I1" s="6" t="str">
        <x:v>Evidence_Artifacts</x:v>
      </x:c>
      <x:c r="J1" s="6" t="str">
        <x:v>Suggested_Frequency</x:v>
      </x:c>
      <x:c r="K1" s="6" t="str">
        <x:v>Typical_Owner</x:v>
      </x:c>
      <x:c r="L1" s="6" t="str">
        <x:v>Default_Status</x:v>
      </x:c>
      <x:c r="M1" s="6" t="str">
        <x:v>Priority</x:v>
      </x:c>
      <x:c r="N1" s="6" t="str">
        <x:v>Source_URL</x:v>
      </x:c>
      <x:c r="O1" s="6" t="str">
        <x:v>Implementation_Notes</x:v>
      </x:c>
    </x:row>
    <x:row r="2">
      <x:c r="A2" s="14" t="str">
        <x:v>DORA-GOV-001</x:v>
      </x:c>
      <x:c r="B2" s="14" t="str">
        <x:v>01 Governance &amp; Strategy</x:v>
      </x:c>
      <x:c r="C2" s="14" t="str">
        <x:v>Management body accountability</x:v>
      </x:c>
      <x:c r="D2" s="14" t="str">
        <x:v>Ensure the management body defines, approves, oversees and remains responsible for ICT risk management.</x:v>
      </x:c>
      <x:c r="E2" s="14" t="str">
        <x:v>Create board-level accountability, approval workflow and evidence links for ICT risk decisions.</x:v>
      </x:c>
      <x:c r="F2" s="14" t="str">
        <x:v>DORA_FULL; MANAGEMENT_BODY</x:v>
      </x:c>
      <x:c r="G2" s="14" t="str">
        <x:v>Art. 5</x:v>
      </x:c>
      <x:c r="H2" s="14" t="str">
        <x:v>RTS 2024/1774 where applicable</x:v>
      </x:c>
      <x:c r="I2" s="14" t="str">
        <x:v>Board minutes; ICT governance policy; responsibility matrix; approval records</x:v>
      </x:c>
      <x:c r="J2" s="14" t="str">
        <x:v>Annual + material change</x:v>
      </x:c>
      <x:c r="K2" s="14" t="str">
        <x:v>Board / Executive Management</x:v>
      </x:c>
      <x:c r="L2" s="14" t="str">
        <x:v>Not Assessed</x:v>
      </x:c>
      <x:c r="M2" s="14" t="str">
        <x:v>High</x:v>
      </x:c>
      <x:c r="N2" s="14" t="str">
        <x:v>https://eur-lex.europa.eu/eli/reg/2022/2554/oj/eng</x:v>
      </x:c>
      <x:c r="O2" s="14" t="str"/>
    </x:row>
    <x:row r="3">
      <x:c r="A3" s="14" t="str">
        <x:v>DORA-GOV-002</x:v>
      </x:c>
      <x:c r="B3" s="14" t="str">
        <x:v>01 Governance &amp; Strategy</x:v>
      </x:c>
      <x:c r="C3" s="14" t="str">
        <x:v>Internal ICT governance and control framework</x:v>
      </x:c>
      <x:c r="D3" s="14" t="str">
        <x:v>Maintain an internal governance and control framework for effective and prudent ICT risk management.</x:v>
      </x:c>
      <x:c r="E3" s="14" t="str">
        <x:v>Enable governance framework record with policies, owners, controls, review dates and approval status.</x:v>
      </x:c>
      <x:c r="F3" s="14" t="str">
        <x:v>DORA_FULL</x:v>
      </x:c>
      <x:c r="G3" s="14" t="str">
        <x:v>Art. 5; Art. 6</x:v>
      </x:c>
      <x:c r="H3" s="14" t="str">
        <x:v>RTS 2024/1774</x:v>
      </x:c>
      <x:c r="I3" s="14" t="str">
        <x:v>Governance framework; ICT risk policy; control framework map</x:v>
      </x:c>
      <x:c r="J3" s="14" t="str">
        <x:v>Annual</x:v>
      </x:c>
      <x:c r="K3" s="14" t="str">
        <x:v>CISO / Risk Manager</x:v>
      </x:c>
      <x:c r="L3" s="14" t="str">
        <x:v>Not Assessed</x:v>
      </x:c>
      <x:c r="M3" s="14" t="str">
        <x:v>High</x:v>
      </x:c>
      <x:c r="N3" s="14" t="str">
        <x:v>https://eur-lex.europa.eu/eli/reg/2022/2554/oj/eng</x:v>
      </x:c>
      <x:c r="O3" s="14" t="str"/>
    </x:row>
    <x:row r="4">
      <x:c r="A4" s="14" t="str">
        <x:v>DORA-GOV-003</x:v>
      </x:c>
      <x:c r="B4" s="14" t="str">
        <x:v>01 Governance &amp; Strategy</x:v>
      </x:c>
      <x:c r="C4" s="14" t="str">
        <x:v>ICT risk roles, responsibilities and segregation</x:v>
      </x:c>
      <x:c r="D4" s="14" t="str">
        <x:v>Define ICT risk roles and maintain appropriate segregation between operational, control and audit functions.</x:v>
      </x:c>
      <x:c r="E4" s="14" t="str">
        <x:v>Add RACI model and conflict/segregation checks for ICT risk responsibilities.</x:v>
      </x:c>
      <x:c r="F4" s="14" t="str">
        <x:v>DORA_FULL</x:v>
      </x:c>
      <x:c r="G4" s="14" t="str">
        <x:v>Art. 6(4)</x:v>
      </x:c>
      <x:c r="H4" s="14" t="str">
        <x:v>RTS 2024/1774</x:v>
      </x:c>
      <x:c r="I4" s="14" t="str">
        <x:v>RACI matrix; org chart; job descriptions; independence statement</x:v>
      </x:c>
      <x:c r="J4" s="14" t="str">
        <x:v>Annual</x:v>
      </x:c>
      <x:c r="K4" s="14" t="str">
        <x:v>CISO / CRO / Internal Audit</x:v>
      </x:c>
      <x:c r="L4" s="14" t="str">
        <x:v>Not Assessed</x:v>
      </x:c>
      <x:c r="M4" s="14" t="str">
        <x:v>High</x:v>
      </x:c>
      <x:c r="N4" s="14" t="str">
        <x:v>https://eur-lex.europa.eu/eli/reg_del/2024/1774/oj/eng</x:v>
      </x:c>
      <x:c r="O4" s="14" t="str"/>
    </x:row>
    <x:row r="5">
      <x:c r="A5" s="14" t="str">
        <x:v>DORA-GOV-004</x:v>
      </x:c>
      <x:c r="B5" s="14" t="str">
        <x:v>01 Governance &amp; Strategy</x:v>
      </x:c>
      <x:c r="C5" s="14" t="str">
        <x:v>ICT risk appetite and tolerance</x:v>
      </x:c>
      <x:c r="D5" s="14" t="str">
        <x:v>Define ICT risk appetite and tolerance levels consistent with business and resilience objectives.</x:v>
      </x:c>
      <x:c r="E5" s="14" t="str">
        <x:v>Capture risk tolerance thresholds and link them to risk scoring, incident severity and remediation SLA.</x:v>
      </x:c>
      <x:c r="F5" s="14" t="str">
        <x:v>DORA_FULL; DORA_SIMPLIFIED</x:v>
      </x:c>
      <x:c r="G5" s="14" t="str">
        <x:v>Art. 6; Art. 16</x:v>
      </x:c>
      <x:c r="H5" s="14" t="str">
        <x:v>RTS 2024/1774</x:v>
      </x:c>
      <x:c r="I5" s="14" t="str">
        <x:v>Risk appetite statement; tolerance matrix; approved thresholds</x:v>
      </x:c>
      <x:c r="J5" s="14" t="str">
        <x:v>Annual</x:v>
      </x:c>
      <x:c r="K5" s="14" t="str">
        <x:v>Risk Manager</x:v>
      </x:c>
      <x:c r="L5" s="14" t="str">
        <x:v>Not Assessed</x:v>
      </x:c>
      <x:c r="M5" s="14" t="str">
        <x:v>High</x:v>
      </x:c>
      <x:c r="N5" s="14" t="str">
        <x:v>https://eur-lex.europa.eu/eli/reg_del/2024/1774/oj/eng</x:v>
      </x:c>
      <x:c r="O5" s="14" t="str"/>
    </x:row>
    <x:row r="6">
      <x:c r="A6" s="14" t="str">
        <x:v>DORA-GOV-005</x:v>
      </x:c>
      <x:c r="B6" s="14" t="str">
        <x:v>01 Governance &amp; Strategy</x:v>
      </x:c>
      <x:c r="C6" s="14" t="str">
        <x:v>Digital operational resilience strategy</x:v>
      </x:c>
      <x:c r="D6" s="14" t="str">
        <x:v>Maintain a strategy for digital operational resilience aligned with business strategy and ICT risk profile.</x:v>
      </x:c>
      <x:c r="E6" s="14" t="str">
        <x:v>Add strategy object with objectives, roadmap, budget, KPIs and review workflow.</x:v>
      </x:c>
      <x:c r="F6" s="14" t="str">
        <x:v>DORA_FULL</x:v>
      </x:c>
      <x:c r="G6" s="14" t="str">
        <x:v>Art. 6</x:v>
      </x:c>
      <x:c r="H6" s="14" t="str">
        <x:v>RTS 2024/1774</x:v>
      </x:c>
      <x:c r="I6" s="14" t="str">
        <x:v>Resilience strategy; roadmap; KPI dashboard; budget approval</x:v>
      </x:c>
      <x:c r="J6" s="14" t="str">
        <x:v>Annual</x:v>
      </x:c>
      <x:c r="K6" s="14" t="str">
        <x:v>CIO / CISO</x:v>
      </x:c>
      <x:c r="L6" s="14" t="str">
        <x:v>Not Assessed</x:v>
      </x:c>
      <x:c r="M6" s="14" t="str">
        <x:v>High</x:v>
      </x:c>
      <x:c r="N6" s="14" t="str">
        <x:v>https://eur-lex.europa.eu/eli/reg/2022/2554/oj/eng</x:v>
      </x:c>
      <x:c r="O6" s="14" t="str"/>
    </x:row>
    <x:row r="7">
      <x:c r="A7" s="14" t="str">
        <x:v>DORA-GOV-006</x:v>
      </x:c>
      <x:c r="B7" s="14" t="str">
        <x:v>01 Governance &amp; Strategy</x:v>
      </x:c>
      <x:c r="C7" s="14" t="str">
        <x:v>Policy governance and periodic review</x:v>
      </x:c>
      <x:c r="D7" s="14" t="str">
        <x:v>Approve, maintain and periodically review ICT policies, procedures and protocols.</x:v>
      </x:c>
      <x:c r="E7" s="14" t="str">
        <x:v>Implement policy inventory with versioning, approval dates, review cadence and attestation.</x:v>
      </x:c>
      <x:c r="F7" s="14" t="str">
        <x:v>DORA_FULL; DORA_SIMPLIFIED</x:v>
      </x:c>
      <x:c r="G7" s="14" t="str">
        <x:v>Art. 6; Art. 7; Art. 16</x:v>
      </x:c>
      <x:c r="H7" s="14" t="str">
        <x:v>RTS 2024/1774</x:v>
      </x:c>
      <x:c r="I7" s="14" t="str">
        <x:v>Policy register; approved policies; version history; staff attestations</x:v>
      </x:c>
      <x:c r="J7" s="14" t="str">
        <x:v>Annual + material change</x:v>
      </x:c>
      <x:c r="K7" s="14" t="str">
        <x:v>CISO / Compliance</x:v>
      </x:c>
      <x:c r="L7" s="14" t="str">
        <x:v>Not Assessed</x:v>
      </x:c>
      <x:c r="M7" s="14" t="str">
        <x:v>High</x:v>
      </x:c>
      <x:c r="N7" s="14" t="str">
        <x:v>https://eur-lex.europa.eu/eli/reg_del/2024/1774/oj/eng</x:v>
      </x:c>
      <x:c r="O7" s="14" t="str"/>
    </x:row>
    <x:row r="8">
      <x:c r="A8" s="14" t="str">
        <x:v>DORA-GOV-007</x:v>
      </x:c>
      <x:c r="B8" s="14" t="str">
        <x:v>01 Governance &amp; Strategy</x:v>
      </x:c>
      <x:c r="C8" s="14" t="str">
        <x:v>Management ICT risk training</x:v>
      </x:c>
      <x:c r="D8" s="14" t="str">
        <x:v>Ensure management body members maintain sufficient ICT risk awareness and training.</x:v>
      </x:c>
      <x:c r="E8" s="14" t="str">
        <x:v>Track executive ICT/cyber resilience training completion and evidence.</x:v>
      </x:c>
      <x:c r="F8" s="14" t="str">
        <x:v>DORA_FULL</x:v>
      </x:c>
      <x:c r="G8" s="14" t="str">
        <x:v>Art. 5</x:v>
      </x:c>
      <x:c r="H8" s="14" t="str">
        <x:v>RTS 2024/1774 where applicable</x:v>
      </x:c>
      <x:c r="I8" s="14" t="str">
        <x:v>Training logs; certificates; board cyber briefings</x:v>
      </x:c>
      <x:c r="J8" s="14" t="str">
        <x:v>Annual</x:v>
      </x:c>
      <x:c r="K8" s="14" t="str">
        <x:v>HR / CISO</x:v>
      </x:c>
      <x:c r="L8" s="14" t="str">
        <x:v>Not Assessed</x:v>
      </x:c>
      <x:c r="M8" s="14" t="str">
        <x:v>High</x:v>
      </x:c>
      <x:c r="N8" s="14" t="str">
        <x:v>https://eur-lex.europa.eu/eli/reg/2022/2554/oj/eng</x:v>
      </x:c>
      <x:c r="O8" s="14" t="str"/>
    </x:row>
    <x:row r="9">
      <x:c r="A9" s="14" t="str">
        <x:v>DORA-GOV-008</x:v>
      </x:c>
      <x:c r="B9" s="14" t="str">
        <x:v>01 Governance &amp; Strategy</x:v>
      </x:c>
      <x:c r="C9" s="14" t="str">
        <x:v>ICT internal audit programme</x:v>
      </x:c>
      <x:c r="D9" s="14" t="str">
        <x:v>Ensure the ICT risk management framework is subject to internal audit proportionate to ICT risk.</x:v>
      </x:c>
      <x:c r="E9" s="14" t="str">
        <x:v>Create audit plan linkage to controls, findings, evidence and remediation actions.</x:v>
      </x:c>
      <x:c r="F9" s="14" t="str">
        <x:v>DORA_FULL; DORA_SIMPLIFIED</x:v>
      </x:c>
      <x:c r="G9" s="14" t="str">
        <x:v>Art. 6; Art. 16</x:v>
      </x:c>
      <x:c r="H9" s="14" t="str">
        <x:v>RTS 2024/1774</x:v>
      </x:c>
      <x:c r="I9" s="14" t="str">
        <x:v>Internal audit plan; audit reports; auditor independence statement</x:v>
      </x:c>
      <x:c r="J9" s="14" t="str">
        <x:v>Annual / risk-based</x:v>
      </x:c>
      <x:c r="K9" s="14" t="str">
        <x:v>Internal Audit</x:v>
      </x:c>
      <x:c r="L9" s="14" t="str">
        <x:v>Not Assessed</x:v>
      </x:c>
      <x:c r="M9" s="14" t="str">
        <x:v>High</x:v>
      </x:c>
      <x:c r="N9" s="14" t="str">
        <x:v>https://eur-lex.europa.eu/eli/reg_del/2024/1774/oj/eng</x:v>
      </x:c>
      <x:c r="O9" s="14" t="str"/>
    </x:row>
    <x:row r="10">
      <x:c r="A10" s="14" t="str">
        <x:v>DORA-GOV-009</x:v>
      </x:c>
      <x:c r="B10" s="14" t="str">
        <x:v>01 Governance &amp; Strategy</x:v>
      </x:c>
      <x:c r="C10" s="14" t="str">
        <x:v>Critical audit finding remediation</x:v>
      </x:c>
      <x:c r="D10" s="14" t="str">
        <x:v>Track and remediate critical ICT audit and assurance findings in a timely manner.</x:v>
      </x:c>
      <x:c r="E10" s="14" t="str">
        <x:v>Add remediation workflow with owner, due date, evidence, exception and escalation.</x:v>
      </x:c>
      <x:c r="F10" s="14" t="str">
        <x:v>DORA_FULL; DORA_SIMPLIFIED</x:v>
      </x:c>
      <x:c r="G10" s="14" t="str">
        <x:v>Art. 6; Art. 16</x:v>
      </x:c>
      <x:c r="H10" s="14" t="str">
        <x:v>RTS 2024/1774</x:v>
      </x:c>
      <x:c r="I10" s="14" t="str">
        <x:v>Findings register; remediation evidence; closure approvals</x:v>
      </x:c>
      <x:c r="J10" s="14" t="str">
        <x:v>Monthly until closure</x:v>
      </x:c>
      <x:c r="K10" s="14" t="str">
        <x:v>CISO / Internal Audit</x:v>
      </x:c>
      <x:c r="L10" s="14" t="str">
        <x:v>Not Assessed</x:v>
      </x:c>
      <x:c r="M10" s="14" t="str">
        <x:v>High</x:v>
      </x:c>
      <x:c r="N10" s="14" t="str">
        <x:v>https://eur-lex.europa.eu/eli/reg_del/2024/1774/oj/eng</x:v>
      </x:c>
      <x:c r="O10" s="14" t="str"/>
    </x:row>
    <x:row r="11">
      <x:c r="A11" s="14" t="str">
        <x:v>DORA-GOV-010</x:v>
      </x:c>
      <x:c r="B11" s="14" t="str">
        <x:v>01 Governance &amp; Strategy</x:v>
      </x:c>
      <x:c r="C11" s="14" t="str">
        <x:v>Proportionality assessment</x:v>
      </x:c>
      <x:c r="D11" s="14" t="str">
        <x:v>Document how DORA requirements are applied considering size, risk profile, nature, scale and complexity.</x:v>
      </x:c>
      <x:c r="E11" s="14" t="str">
        <x:v>Add proportionality profile that influences control applicability and evidence depth.</x:v>
      </x:c>
      <x:c r="F11" s="14" t="str">
        <x:v>DORA_FULL; DORA_SIMPLIFIED; MICROENTERPRISE</x:v>
      </x:c>
      <x:c r="G11" s="14" t="str">
        <x:v>Art. 4</x:v>
      </x:c>
      <x:c r="H11" s="14" t="str">
        <x:v>RTS 2024/1774</x:v>
      </x:c>
      <x:c r="I11" s="14" t="str">
        <x:v>Proportionality assessment; entity profile; management approval</x:v>
      </x:c>
      <x:c r="J11" s="14" t="str">
        <x:v>Annual</x:v>
      </x:c>
      <x:c r="K11" s="14" t="str">
        <x:v>Compliance / Risk Manager</x:v>
      </x:c>
      <x:c r="L11" s="14" t="str">
        <x:v>Not Assessed</x:v>
      </x:c>
      <x:c r="M11" s="14" t="str">
        <x:v>High</x:v>
      </x:c>
      <x:c r="N11" s="14" t="str">
        <x:v>https://eur-lex.europa.eu/eli/reg/2022/2554/oj/eng</x:v>
      </x:c>
      <x:c r="O11" s="14" t="str"/>
    </x:row>
    <x:row r="12">
      <x:c r="A12" s="14" t="str">
        <x:v>DORA-GOV-011</x:v>
      </x:c>
      <x:c r="B12" s="14" t="str">
        <x:v>01 Governance &amp; Strategy</x:v>
      </x:c>
      <x:c r="C12" s="14" t="str">
        <x:v>Resourcing for digital resilience</x:v>
      </x:c>
      <x:c r="D12" s="14" t="str">
        <x:v>Ensure sufficient resources, skills and budget are allocated for ICT risk and resilience.</x:v>
      </x:c>
      <x:c r="E12" s="14" t="str">
        <x:v>Track resources, skills, budget approvals and open capability gaps.</x:v>
      </x:c>
      <x:c r="F12" s="14" t="str">
        <x:v>DORA_FULL</x:v>
      </x:c>
      <x:c r="G12" s="14" t="str">
        <x:v>Art. 5; Art. 6</x:v>
      </x:c>
      <x:c r="H12" s="14" t="str">
        <x:v>RTS 2024/1774 where applicable</x:v>
      </x:c>
      <x:c r="I12" s="14" t="str">
        <x:v>Budget; staffing plan; skills matrix; training plan</x:v>
      </x:c>
      <x:c r="J12" s="14" t="str">
        <x:v>Annual</x:v>
      </x:c>
      <x:c r="K12" s="14" t="str">
        <x:v>CIO / CISO</x:v>
      </x:c>
      <x:c r="L12" s="14" t="str">
        <x:v>Not Assessed</x:v>
      </x:c>
      <x:c r="M12" s="14" t="str">
        <x:v>High</x:v>
      </x:c>
      <x:c r="N12" s="14" t="str">
        <x:v>https://eur-lex.europa.eu/eli/reg/2022/2554/oj/eng</x:v>
      </x:c>
      <x:c r="O12" s="14" t="str"/>
    </x:row>
    <x:row r="13">
      <x:c r="A13" s="14" t="str">
        <x:v>DORA-GOV-012</x:v>
      </x:c>
      <x:c r="B13" s="14" t="str">
        <x:v>01 Governance &amp; Strategy</x:v>
      </x:c>
      <x:c r="C13" s="14" t="str">
        <x:v>Management reporting of ICT risk</x:v>
      </x:c>
      <x:c r="D13" s="14" t="str">
        <x:v>Provide recurring management reporting on ICT risk, resilience, incidents, testing and third-party exposure.</x:v>
      </x:c>
      <x:c r="E13" s="14" t="str">
        <x:v>Create executive dashboard and reporting package with risk indicators and exceptions.</x:v>
      </x:c>
      <x:c r="F13" s="14" t="str">
        <x:v>DORA_FULL; DORA_SIMPLIFIED</x:v>
      </x:c>
      <x:c r="G13" s="14" t="str">
        <x:v>Art. 5; Art. 6; Art. 16</x:v>
      </x:c>
      <x:c r="H13" s="14" t="str">
        <x:v>RTS 2024/1774</x:v>
      </x:c>
      <x:c r="I13" s="14" t="str">
        <x:v>Management reports; KRIs; board packs; dashboard screenshots</x:v>
      </x:c>
      <x:c r="J13" s="14" t="str">
        <x:v>Quarterly</x:v>
      </x:c>
      <x:c r="K13" s="14" t="str">
        <x:v>CISO / Risk Manager</x:v>
      </x:c>
      <x:c r="L13" s="14" t="str">
        <x:v>Not Assessed</x:v>
      </x:c>
      <x:c r="M13" s="14" t="str">
        <x:v>High</x:v>
      </x:c>
      <x:c r="N13" s="14" t="str">
        <x:v>https://eur-lex.europa.eu/eli/reg_del/2024/1774/oj/eng</x:v>
      </x:c>
      <x:c r="O13" s="14" t="str"/>
    </x:row>
    <x:row r="14">
      <x:c r="A14" s="14" t="str">
        <x:v>DORA-RMF-001</x:v>
      </x:c>
      <x:c r="B14" s="14" t="str">
        <x:v>02 ICT Risk Management Framework</x:v>
      </x:c>
      <x:c r="C14" s="14" t="str">
        <x:v>Comprehensive ICT risk management framework</x:v>
      </x:c>
      <x:c r="D14" s="14" t="str">
        <x:v>Maintain a sound, documented and comprehensive ICT risk management framework.</x:v>
      </x:c>
      <x:c r="E14" s="14" t="str">
        <x:v>Create DORA RMF module linking assets, risks, controls, policies, evidence, incidents, tests and suppliers.</x:v>
      </x:c>
      <x:c r="F14" s="14" t="str">
        <x:v>DORA_FULL</x:v>
      </x:c>
      <x:c r="G14" s="14" t="str">
        <x:v>Art. 6</x:v>
      </x:c>
      <x:c r="H14" s="14" t="str">
        <x:v>RTS 2024/1774</x:v>
      </x:c>
      <x:c r="I14" s="14" t="str">
        <x:v>ICT RMF document; control library; risk methodology; dashboards</x:v>
      </x:c>
      <x:c r="J14" s="14" t="str">
        <x:v>Annual + material change</x:v>
      </x:c>
      <x:c r="K14" s="14" t="str">
        <x:v>CISO / CRO</x:v>
      </x:c>
      <x:c r="L14" s="14" t="str">
        <x:v>Not Assessed</x:v>
      </x:c>
      <x:c r="M14" s="14" t="str">
        <x:v>High</x:v>
      </x:c>
      <x:c r="N14" s="14" t="str">
        <x:v>https://eur-lex.europa.eu/eli/reg_del/2024/1774/oj/eng</x:v>
      </x:c>
      <x:c r="O14" s="14" t="str"/>
    </x:row>
    <x:row r="15">
      <x:c r="A15" s="14" t="str">
        <x:v>DORA-RMF-002</x:v>
      </x:c>
      <x:c r="B15" s="14" t="str">
        <x:v>02 ICT Risk Management Framework</x:v>
      </x:c>
      <x:c r="C15" s="14" t="str">
        <x:v>ICT risk assessment methodology</x:v>
      </x:c>
      <x:c r="D15" s="14" t="str">
        <x:v>Define methodology for identifying, assessing and documenting ICT risks.</x:v>
      </x:c>
      <x:c r="E15" s="14" t="str">
        <x:v>Support inherent/residual risk scoring, likelihood, impact, control effectiveness and risk acceptance.</x:v>
      </x:c>
      <x:c r="F15" s="14" t="str">
        <x:v>DORA_FULL; DORA_SIMPLIFIED</x:v>
      </x:c>
      <x:c r="G15" s="14" t="str">
        <x:v>Art. 6; Art. 16</x:v>
      </x:c>
      <x:c r="H15" s="14" t="str">
        <x:v>RTS 2024/1774</x:v>
      </x:c>
      <x:c r="I15" s="14" t="str">
        <x:v>Risk methodology; risk register; scoring model</x:v>
      </x:c>
      <x:c r="J15" s="14" t="str">
        <x:v>Annual</x:v>
      </x:c>
      <x:c r="K15" s="14" t="str">
        <x:v>Risk Manager</x:v>
      </x:c>
      <x:c r="L15" s="14" t="str">
        <x:v>Not Assessed</x:v>
      </x:c>
      <x:c r="M15" s="14" t="str">
        <x:v>High</x:v>
      </x:c>
      <x:c r="N15" s="14" t="str">
        <x:v>https://eur-lex.europa.eu/eli/reg_del/2024/1774/oj/eng</x:v>
      </x:c>
      <x:c r="O15" s="14" t="str"/>
    </x:row>
    <x:row r="16">
      <x:c r="A16" s="14" t="str">
        <x:v>DORA-RMF-003</x:v>
      </x:c>
      <x:c r="B16" s="14" t="str">
        <x:v>02 ICT Risk Management Framework</x:v>
      </x:c>
      <x:c r="C16" s="14" t="str">
        <x:v>ICT risk register</x:v>
      </x:c>
      <x:c r="D16" s="14" t="str">
        <x:v>Maintain an ICT risk register covering threats, vulnerabilities, assets, functions and mitigations.</x:v>
      </x:c>
      <x:c r="E16" s="14" t="str">
        <x:v>Add risk records linked to controls, assets, suppliers, incidents and remediation tasks.</x:v>
      </x:c>
      <x:c r="F16" s="14" t="str">
        <x:v>DORA_FULL; DORA_SIMPLIFIED</x:v>
      </x:c>
      <x:c r="G16" s="14" t="str">
        <x:v>Art. 6; Art. 16</x:v>
      </x:c>
      <x:c r="H16" s="14" t="str">
        <x:v>RTS 2024/1774</x:v>
      </x:c>
      <x:c r="I16" s="14" t="str">
        <x:v>ICT risk register; risk treatment plans; acceptance approvals</x:v>
      </x:c>
      <x:c r="J16" s="14" t="str">
        <x:v>Continuous</x:v>
      </x:c>
      <x:c r="K16" s="14" t="str">
        <x:v>Risk Manager</x:v>
      </x:c>
      <x:c r="L16" s="14" t="str">
        <x:v>Not Assessed</x:v>
      </x:c>
      <x:c r="M16" s="14" t="str">
        <x:v>High</x:v>
      </x:c>
      <x:c r="N16" s="14" t="str">
        <x:v>https://eur-lex.europa.eu/eli/reg_del/2024/1774/oj/eng</x:v>
      </x:c>
      <x:c r="O16" s="14" t="str"/>
    </x:row>
    <x:row r="17">
      <x:c r="A17" s="14" t="str">
        <x:v>DORA-RMF-004</x:v>
      </x:c>
      <x:c r="B17" s="14" t="str">
        <x:v>02 ICT Risk Management Framework</x:v>
      </x:c>
      <x:c r="C17" s="14" t="str">
        <x:v>Threat and vulnerability monitoring</x:v>
      </x:c>
      <x:c r="D17" s="14" t="str">
        <x:v>Continuously monitor relevant ICT threats and vulnerabilities affecting critical or important functions.</x:v>
      </x:c>
      <x:c r="E17" s="14" t="str">
        <x:v>Add threat/vulnerability feeds, manual entries, CVE linkage and risk update workflow.</x:v>
      </x:c>
      <x:c r="F17" s="14" t="str">
        <x:v>DORA_FULL; DORA_SIMPLIFIED</x:v>
      </x:c>
      <x:c r="G17" s="14" t="str">
        <x:v>Art. 6; Art. 10; Art. 16</x:v>
      </x:c>
      <x:c r="H17" s="14" t="str">
        <x:v>RTS 2024/1774</x:v>
      </x:c>
      <x:c r="I17" s="14" t="str">
        <x:v>Vulnerability scans; threat intel reports; risk updates</x:v>
      </x:c>
      <x:c r="J17" s="14" t="str">
        <x:v>Continuous</x:v>
      </x:c>
      <x:c r="K17" s="14" t="str">
        <x:v>Security Operations</x:v>
      </x:c>
      <x:c r="L17" s="14" t="str">
        <x:v>Not Assessed</x:v>
      </x:c>
      <x:c r="M17" s="14" t="str">
        <x:v>High</x:v>
      </x:c>
      <x:c r="N17" s="14" t="str">
        <x:v>https://eur-lex.europa.eu/eli/reg_del/2024/1774/oj/eng</x:v>
      </x:c>
      <x:c r="O17" s="14" t="str"/>
    </x:row>
    <x:row r="18">
      <x:c r="A18" s="14" t="str">
        <x:v>DORA-RMF-005</x:v>
      </x:c>
      <x:c r="B18" s="14" t="str">
        <x:v>02 ICT Risk Management Framework</x:v>
      </x:c>
      <x:c r="C18" s="14" t="str">
        <x:v>Risk treatment and residual risk acceptance</x:v>
      </x:c>
      <x:c r="D18" s="14" t="str">
        <x:v>Define mitigation actions for ICT risks outside tolerance and document residual risk acceptance.</x:v>
      </x:c>
      <x:c r="E18" s="14" t="str">
        <x:v>Link risk treatment plans to control gaps, tasks, exceptions and approval workflow.</x:v>
      </x:c>
      <x:c r="F18" s="14" t="str">
        <x:v>DORA_FULL; DORA_SIMPLIFIED</x:v>
      </x:c>
      <x:c r="G18" s="14" t="str">
        <x:v>Art. 6; Art. 16</x:v>
      </x:c>
      <x:c r="H18" s="14" t="str">
        <x:v>RTS 2024/1774</x:v>
      </x:c>
      <x:c r="I18" s="14" t="str">
        <x:v>Treatment plans; residual risk approvals; exception register</x:v>
      </x:c>
      <x:c r="J18" s="14" t="str">
        <x:v>Monthly</x:v>
      </x:c>
      <x:c r="K18" s="14" t="str">
        <x:v>Risk Manager / Control Owner</x:v>
      </x:c>
      <x:c r="L18" s="14" t="str">
        <x:v>Not Assessed</x:v>
      </x:c>
      <x:c r="M18" s="14" t="str">
        <x:v>High</x:v>
      </x:c>
      <x:c r="N18" s="14" t="str">
        <x:v>https://eur-lex.europa.eu/eli/reg_del/2024/1774/oj/eng</x:v>
      </x:c>
      <x:c r="O18" s="14" t="str"/>
    </x:row>
    <x:row r="19">
      <x:c r="A19" s="14" t="str">
        <x:v>DORA-RMF-006</x:v>
      </x:c>
      <x:c r="B19" s="14" t="str">
        <x:v>02 ICT Risk Management Framework</x:v>
      </x:c>
      <x:c r="C19" s="14" t="str">
        <x:v>Major change ICT risk assessment</x:v>
      </x:c>
      <x:c r="D19" s="14" t="str">
        <x:v>Assess ICT and information security risks arising from major changes to ICT systems, services, processes or procedures.</x:v>
      </x:c>
      <x:c r="E19" s="14" t="str">
        <x:v>Require risk assessment gate in change/project workflow for DORA-relevant systems.</x:v>
      </x:c>
      <x:c r="F19" s="14" t="str">
        <x:v>DORA_FULL; DORA_SIMPLIFIED</x:v>
      </x:c>
      <x:c r="G19" s="14" t="str">
        <x:v>Art. 6; Art. 16</x:v>
      </x:c>
      <x:c r="H19" s="14" t="str">
        <x:v>RTS 2024/1774</x:v>
      </x:c>
      <x:c r="I19" s="14" t="str">
        <x:v>Change risk assessments; CAB approvals; security review outputs</x:v>
      </x:c>
      <x:c r="J19" s="14" t="str">
        <x:v>Per major change</x:v>
      </x:c>
      <x:c r="K19" s="14" t="str">
        <x:v>Change Manager / CISO</x:v>
      </x:c>
      <x:c r="L19" s="14" t="str">
        <x:v>Not Assessed</x:v>
      </x:c>
      <x:c r="M19" s="14" t="str">
        <x:v>High</x:v>
      </x:c>
      <x:c r="N19" s="14" t="str">
        <x:v>https://eur-lex.europa.eu/eli/reg_del/2024/1774/oj/eng</x:v>
      </x:c>
      <x:c r="O19" s="14" t="str"/>
    </x:row>
    <x:row r="20">
      <x:c r="A20" s="14" t="str">
        <x:v>DORA-RMF-007</x:v>
      </x:c>
      <x:c r="B20" s="14" t="str">
        <x:v>02 ICT Risk Management Framework</x:v>
      </x:c>
      <x:c r="C20" s="14" t="str">
        <x:v>Risk reassessment after incidents and testing</x:v>
      </x:c>
      <x:c r="D20" s="14" t="str">
        <x:v>Reassess ICT risk following major ICT incidents and ICT security testing results.</x:v>
      </x:c>
      <x:c r="E20" s="14" t="str">
        <x:v>Trigger automatic risk review from major incident closure or severe test findings.</x:v>
      </x:c>
      <x:c r="F20" s="14" t="str">
        <x:v>DORA_FULL; DORA_SIMPLIFIED</x:v>
      </x:c>
      <x:c r="G20" s="14" t="str">
        <x:v>Art. 6; Art. 13; Art. 16</x:v>
      </x:c>
      <x:c r="H20" s="14" t="str">
        <x:v>RTS 2024/1774</x:v>
      </x:c>
      <x:c r="I20" s="14" t="str">
        <x:v>Post-incident reviews; updated risk register; test result remediation</x:v>
      </x:c>
      <x:c r="J20" s="14" t="str">
        <x:v>Event-driven</x:v>
      </x:c>
      <x:c r="K20" s="14" t="str">
        <x:v>CISO / Risk Manager</x:v>
      </x:c>
      <x:c r="L20" s="14" t="str">
        <x:v>Not Assessed</x:v>
      </x:c>
      <x:c r="M20" s="14" t="str">
        <x:v>High</x:v>
      </x:c>
      <x:c r="N20" s="14" t="str">
        <x:v>https://eur-lex.europa.eu/eli/reg_del/2024/1774/oj/eng</x:v>
      </x:c>
      <x:c r="O20" s="14" t="str"/>
    </x:row>
    <x:row r="21">
      <x:c r="A21" s="14" t="str">
        <x:v>DORA-RMF-008</x:v>
      </x:c>
      <x:c r="B21" s="14" t="str">
        <x:v>02 ICT Risk Management Framework</x:v>
      </x:c>
      <x:c r="C21" s="14" t="str">
        <x:v>ICT RMF review and improvement</x:v>
      </x:c>
      <x:c r="D21" s="14" t="str">
        <x:v>Review the ICT risk management framework periodically and after material changes.</x:v>
      </x:c>
      <x:c r="E21" s="14" t="str">
        <x:v>Schedule RMF review campaign with evidence collection and management approval.</x:v>
      </x:c>
      <x:c r="F21" s="14" t="str">
        <x:v>DORA_FULL</x:v>
      </x:c>
      <x:c r="G21" s="14" t="str">
        <x:v>Art. 6(5)</x:v>
      </x:c>
      <x:c r="H21" s="14" t="str">
        <x:v>RTS 2024/1774 Art. 27</x:v>
      </x:c>
      <x:c r="I21" s="14" t="str">
        <x:v>RMF review report; action plan; management approval</x:v>
      </x:c>
      <x:c r="J21" s="14" t="str">
        <x:v>Annual + material change</x:v>
      </x:c>
      <x:c r="K21" s="14" t="str">
        <x:v>CISO / Compliance</x:v>
      </x:c>
      <x:c r="L21" s="14" t="str">
        <x:v>Not Assessed</x:v>
      </x:c>
      <x:c r="M21" s="14" t="str">
        <x:v>High</x:v>
      </x:c>
      <x:c r="N21" s="14" t="str">
        <x:v>https://eur-lex.europa.eu/eli/reg_del/2024/1774/oj/eng</x:v>
      </x:c>
      <x:c r="O21" s="14" t="str"/>
    </x:row>
    <x:row r="22">
      <x:c r="A22" s="14" t="str">
        <x:v>DORA-RMF-009</x:v>
      </x:c>
      <x:c r="B22" s="14" t="str">
        <x:v>02 ICT Risk Management Framework</x:v>
      </x:c>
      <x:c r="C22" s="14" t="str">
        <x:v>Competent authority review report readiness</x:v>
      </x:c>
      <x:c r="D22" s="14" t="str">
        <x:v>Prepare a searchable report on the review of the ICT risk management framework for supervisory requests.</x:v>
      </x:c>
      <x:c r="E22" s="14" t="str">
        <x:v>Generate/export DORA RMF review report from platform data.</x:v>
      </x:c>
      <x:c r="F22" s="14" t="str">
        <x:v>DORA_FULL</x:v>
      </x:c>
      <x:c r="G22" s="14" t="str">
        <x:v>Art. 6(5)</x:v>
      </x:c>
      <x:c r="H22" s="14" t="str">
        <x:v>RTS 2024/1774 Art. 27</x:v>
      </x:c>
      <x:c r="I22" s="14" t="str">
        <x:v>Searchable RMF review report; evidence index</x:v>
      </x:c>
      <x:c r="J22" s="14" t="str">
        <x:v>On request / annual</x:v>
      </x:c>
      <x:c r="K22" s="14" t="str">
        <x:v>Compliance</x:v>
      </x:c>
      <x:c r="L22" s="14" t="str">
        <x:v>Not Assessed</x:v>
      </x:c>
      <x:c r="M22" s="14" t="str">
        <x:v>High</x:v>
      </x:c>
      <x:c r="N22" s="14" t="str">
        <x:v>https://eur-lex.europa.eu/eli/reg_del/2024/1774/oj/eng</x:v>
      </x:c>
      <x:c r="O22" s="14" t="str"/>
    </x:row>
    <x:row r="23">
      <x:c r="A23" s="14" t="str">
        <x:v>DORA-RMF-010</x:v>
      </x:c>
      <x:c r="B23" s="14" t="str">
        <x:v>02 ICT Risk Management Framework</x:v>
      </x:c>
      <x:c r="C23" s="14" t="str">
        <x:v>ICT security policies, procedures, protocols and tools</x:v>
      </x:c>
      <x:c r="D23" s="14" t="str">
        <x:v>Maintain ICT security policies, procedures, protocols and tools to protect ICT assets and data.</x:v>
      </x:c>
      <x:c r="E23" s="14" t="str">
        <x:v>Map policy documents to security control domains and evidence requirements.</x:v>
      </x:c>
      <x:c r="F23" s="14" t="str">
        <x:v>DORA_FULL</x:v>
      </x:c>
      <x:c r="G23" s="14" t="str">
        <x:v>Art. 7; Art. 9; Art. 15</x:v>
      </x:c>
      <x:c r="H23" s="14" t="str">
        <x:v>RTS 2024/1774</x:v>
      </x:c>
      <x:c r="I23" s="14" t="str">
        <x:v>ICT security policy set; procedures; tool inventory</x:v>
      </x:c>
      <x:c r="J23" s="14" t="str">
        <x:v>Annual</x:v>
      </x:c>
      <x:c r="K23" s="14" t="str">
        <x:v>CISO</x:v>
      </x:c>
      <x:c r="L23" s="14" t="str">
        <x:v>Not Assessed</x:v>
      </x:c>
      <x:c r="M23" s="14" t="str">
        <x:v>High</x:v>
      </x:c>
      <x:c r="N23" s="14" t="str">
        <x:v>https://eur-lex.europa.eu/eli/reg_del/2024/1774/oj/eng</x:v>
      </x:c>
      <x:c r="O23" s="14" t="str"/>
    </x:row>
    <x:row r="24">
      <x:c r="A24" s="14" t="str">
        <x:v>DORA-RMF-011</x:v>
      </x:c>
      <x:c r="B24" s="14" t="str">
        <x:v>02 ICT Risk Management Framework</x:v>
      </x:c>
      <x:c r="C24" s="14" t="str">
        <x:v>Critical or important function mapping</x:v>
      </x:c>
      <x:c r="D24" s="14" t="str">
        <x:v>Map ICT assets, services and risks to critical or important functions.</x:v>
      </x:c>
      <x:c r="E24" s="14" t="str">
        <x:v>Add function register and link function criticality to controls, incidents, suppliers and tests.</x:v>
      </x:c>
      <x:c r="F24" s="14" t="str">
        <x:v>DORA_FULL; DORA_SIMPLIFIED</x:v>
      </x:c>
      <x:c r="G24" s="14" t="str">
        <x:v>Art. 8; Art. 16</x:v>
      </x:c>
      <x:c r="H24" s="14" t="str">
        <x:v>RTS 2024/1774</x:v>
      </x:c>
      <x:c r="I24" s="14" t="str">
        <x:v>Critical/important function inventory; dependency maps</x:v>
      </x:c>
      <x:c r="J24" s="14" t="str">
        <x:v>Quarterly + change</x:v>
      </x:c>
      <x:c r="K24" s="14" t="str">
        <x:v>Business Owner / CISO</x:v>
      </x:c>
      <x:c r="L24" s="14" t="str">
        <x:v>Not Assessed</x:v>
      </x:c>
      <x:c r="M24" s="14" t="str">
        <x:v>High</x:v>
      </x:c>
      <x:c r="N24" s="14" t="str">
        <x:v>https://eur-lex.europa.eu/eli/reg_del/2024/1774/oj/eng</x:v>
      </x:c>
      <x:c r="O24" s="14" t="str"/>
    </x:row>
    <x:row r="25">
      <x:c r="A25" s="14" t="str">
        <x:v>DORA-RMF-012</x:v>
      </x:c>
      <x:c r="B25" s="14" t="str">
        <x:v>02 ICT Risk Management Framework</x:v>
      </x:c>
      <x:c r="C25" s="14" t="str">
        <x:v>Independent ICT risk control function</x:v>
      </x:c>
      <x:c r="D25" s="14" t="str">
        <x:v>Assign responsibility for managing and overseeing ICT risk through appropriate control functions.</x:v>
      </x:c>
      <x:c r="E25" s="14" t="str">
        <x:v>Capture control function owners, independence evidence and reporting lines.</x:v>
      </x:c>
      <x:c r="F25" s="14" t="str">
        <x:v>DORA_FULL</x:v>
      </x:c>
      <x:c r="G25" s="14" t="str">
        <x:v>Art. 6(4)</x:v>
      </x:c>
      <x:c r="H25" s="14" t="str">
        <x:v>RTS 2024/1774</x:v>
      </x:c>
      <x:c r="I25" s="14" t="str">
        <x:v>Role descriptions; governance charters; reporting lines</x:v>
      </x:c>
      <x:c r="J25" s="14" t="str">
        <x:v>Annual</x:v>
      </x:c>
      <x:c r="K25" s="14" t="str">
        <x:v>CRO / CISO</x:v>
      </x:c>
      <x:c r="L25" s="14" t="str">
        <x:v>Not Assessed</x:v>
      </x:c>
      <x:c r="M25" s="14" t="str">
        <x:v>High</x:v>
      </x:c>
      <x:c r="N25" s="14" t="str">
        <x:v>https://eur-lex.europa.eu/eli/reg/2022/2554/oj/eng</x:v>
      </x:c>
      <x:c r="O25" s="14" t="str"/>
    </x:row>
    <x:row r="26">
      <x:c r="A26" s="14" t="str">
        <x:v>DORA-ID-001</x:v>
      </x:c>
      <x:c r="B26" s="14" t="str">
        <x:v>03 Identification &amp; Asset Management</x:v>
      </x:c>
      <x:c r="C26" s="14" t="str">
        <x:v>ICT asset inventory</x:v>
      </x:c>
      <x:c r="D26" s="14" t="str">
        <x:v>Identify, classify and document ICT assets supporting business and critical or important functions.</x:v>
      </x:c>
      <x:c r="E26" s="14" t="str">
        <x:v>Maintain searchable asset inventory with owner, classification, location, support status and criticality.</x:v>
      </x:c>
      <x:c r="F26" s="14" t="str">
        <x:v>DORA_FULL; DORA_SIMPLIFIED</x:v>
      </x:c>
      <x:c r="G26" s="14" t="str">
        <x:v>Art. 8; Art. 16</x:v>
      </x:c>
      <x:c r="H26" s="14" t="str">
        <x:v>RTS 2024/1774</x:v>
      </x:c>
      <x:c r="I26" s="14" t="str">
        <x:v>CMDB; asset inventory; classification records</x:v>
      </x:c>
      <x:c r="J26" s="14" t="str">
        <x:v>Continuous / quarterly review</x:v>
      </x:c>
      <x:c r="K26" s="14" t="str">
        <x:v>IT Operations</x:v>
      </x:c>
      <x:c r="L26" s="14" t="str">
        <x:v>Not Assessed</x:v>
      </x:c>
      <x:c r="M26" s="14" t="str">
        <x:v>High</x:v>
      </x:c>
      <x:c r="N26" s="14" t="str">
        <x:v>https://eur-lex.europa.eu/eli/reg_del/2024/1774/oj/eng</x:v>
      </x:c>
      <x:c r="O26" s="14" t="str"/>
    </x:row>
    <x:row r="27">
      <x:c r="A27" s="14" t="str">
        <x:v>DORA-ID-002</x:v>
      </x:c>
      <x:c r="B27" s="14" t="str">
        <x:v>03 Identification &amp; Asset Management</x:v>
      </x:c>
      <x:c r="C27" s="14" t="str">
        <x:v>Information asset and data inventory</x:v>
      </x:c>
      <x:c r="D27" s="14" t="str">
        <x:v>Identify and classify information assets and data processed by ICT systems.</x:v>
      </x:c>
      <x:c r="E27" s="14" t="str">
        <x:v>Capture data types, business owner, confidentiality/integrity/availability needs and retention.</x:v>
      </x:c>
      <x:c r="F27" s="14" t="str">
        <x:v>DORA_FULL; DORA_SIMPLIFIED</x:v>
      </x:c>
      <x:c r="G27" s="14" t="str">
        <x:v>Art. 8; Art. 16</x:v>
      </x:c>
      <x:c r="H27" s="14" t="str">
        <x:v>RTS 2024/1774</x:v>
      </x:c>
      <x:c r="I27" s="14" t="str">
        <x:v>Data inventory; data classification; ownership records</x:v>
      </x:c>
      <x:c r="J27" s="14" t="str">
        <x:v>Quarterly</x:v>
      </x:c>
      <x:c r="K27" s="14" t="str">
        <x:v>Data Owner / CISO</x:v>
      </x:c>
      <x:c r="L27" s="14" t="str">
        <x:v>Not Assessed</x:v>
      </x:c>
      <x:c r="M27" s="14" t="str">
        <x:v>High</x:v>
      </x:c>
      <x:c r="N27" s="14" t="str">
        <x:v>https://eur-lex.europa.eu/eli/reg_del/2024/1774/oj/eng</x:v>
      </x:c>
      <x:c r="O27" s="14" t="str"/>
    </x:row>
    <x:row r="28">
      <x:c r="A28" s="14" t="str">
        <x:v>DORA-ID-003</x:v>
      </x:c>
      <x:c r="B28" s="14" t="str">
        <x:v>03 Identification &amp; Asset Management</x:v>
      </x:c>
      <x:c r="C28" s="14" t="str">
        <x:v>Critical or important function register</x:v>
      </x:c>
      <x:c r="D28" s="14" t="str">
        <x:v>Identify and document critical or important functions and the ICT dependencies supporting them.</x:v>
      </x:c>
      <x:c r="E28" s="14" t="str">
        <x:v>Create critical/important function object with impact rationale and approval workflow.</x:v>
      </x:c>
      <x:c r="F28" s="14" t="str">
        <x:v>DORA_FULL; DORA_SIMPLIFIED</x:v>
      </x:c>
      <x:c r="G28" s="14" t="str">
        <x:v>Art. 8; Art. 16; Art. 28</x:v>
      </x:c>
      <x:c r="H28" s="14" t="str">
        <x:v>RTS 2024/1774</x:v>
      </x:c>
      <x:c r="I28" s="14" t="str">
        <x:v>Function register; BIA; impact assessment; approvals</x:v>
      </x:c>
      <x:c r="J28" s="14" t="str">
        <x:v>Annual + change</x:v>
      </x:c>
      <x:c r="K28" s="14" t="str">
        <x:v>Business Continuity Manager</x:v>
      </x:c>
      <x:c r="L28" s="14" t="str">
        <x:v>Not Assessed</x:v>
      </x:c>
      <x:c r="M28" s="14" t="str">
        <x:v>High</x:v>
      </x:c>
      <x:c r="N28" s="14" t="str">
        <x:v>https://eur-lex.europa.eu/eli/reg_del/2024/1774/oj/eng</x:v>
      </x:c>
      <x:c r="O28" s="14" t="str"/>
    </x:row>
    <x:row r="29">
      <x:c r="A29" s="14" t="str">
        <x:v>DORA-ID-004</x:v>
      </x:c>
      <x:c r="B29" s="14" t="str">
        <x:v>03 Identification &amp; Asset Management</x:v>
      </x:c>
      <x:c r="C29" s="14" t="str">
        <x:v>Dependency mapping</x:v>
      </x:c>
      <x:c r="D29" s="14" t="str">
        <x:v>Map dependencies among functions, ICT assets, information assets, third parties and interconnections.</x:v>
      </x:c>
      <x:c r="E29" s="14" t="str">
        <x:v>Show dependency graph and use it for incident impact, testing scope and supplier risk.</x:v>
      </x:c>
      <x:c r="F29" s="14" t="str">
        <x:v>DORA_FULL; DORA_SIMPLIFIED</x:v>
      </x:c>
      <x:c r="G29" s="14" t="str">
        <x:v>Art. 8; Art. 11; Art. 28</x:v>
      </x:c>
      <x:c r="H29" s="14" t="str">
        <x:v>RTS 2024/1774</x:v>
      </x:c>
      <x:c r="I29" s="14" t="str">
        <x:v>Dependency map; architecture diagrams; supplier mappings</x:v>
      </x:c>
      <x:c r="J29" s="14" t="str">
        <x:v>Quarterly + change</x:v>
      </x:c>
      <x:c r="K29" s="14" t="str">
        <x:v>Enterprise Architect / CISO</x:v>
      </x:c>
      <x:c r="L29" s="14" t="str">
        <x:v>Not Assessed</x:v>
      </x:c>
      <x:c r="M29" s="14" t="str">
        <x:v>High</x:v>
      </x:c>
      <x:c r="N29" s="14" t="str">
        <x:v>https://eur-lex.europa.eu/eli/reg_del/2024/1774/oj/eng</x:v>
      </x:c>
      <x:c r="O29" s="14" t="str"/>
    </x:row>
    <x:row r="30">
      <x:c r="A30" s="14" t="str">
        <x:v>DORA-ID-005</x:v>
      </x:c>
      <x:c r="B30" s="14" t="str">
        <x:v>03 Identification &amp; Asset Management</x:v>
      </x:c>
      <x:c r="C30" s="14" t="str">
        <x:v>Third-party ICT dependency identification</x:v>
      </x:c>
      <x:c r="D30" s="14" t="str">
        <x:v>Identify critical or important functions supported by ICT third-party service providers.</x:v>
      </x:c>
      <x:c r="E30" s="14" t="str">
        <x:v>Link assets and functions to vendor contracts and RoI records.</x:v>
      </x:c>
      <x:c r="F30" s="14" t="str">
        <x:v>DORA_FULL; DORA_SIMPLIFIED; THIRD_PARTY</x:v>
      </x:c>
      <x:c r="G30" s="14" t="str">
        <x:v>Art. 8; Art. 28</x:v>
      </x:c>
      <x:c r="H30" s="14" t="str">
        <x:v>RTS 2024/1774; ITS 2024/2956</x:v>
      </x:c>
      <x:c r="I30" s="14" t="str">
        <x:v>Supplier-function mapping; RoI records; contract inventory</x:v>
      </x:c>
      <x:c r="J30" s="14" t="str">
        <x:v>Continuous</x:v>
      </x:c>
      <x:c r="K30" s="14" t="str">
        <x:v>Third-Party Risk Manager</x:v>
      </x:c>
      <x:c r="L30" s="14" t="str">
        <x:v>Not Assessed</x:v>
      </x:c>
      <x:c r="M30" s="14" t="str">
        <x:v>High</x:v>
      </x:c>
      <x:c r="N30" s="14" t="str">
        <x:v>https://eur-lex.europa.eu/eli/reg_impl/2024/2956/oj/eng</x:v>
      </x:c>
      <x:c r="O30" s="14" t="str"/>
    </x:row>
    <x:row r="31">
      <x:c r="A31" s="14" t="str">
        <x:v>DORA-ID-006</x:v>
      </x:c>
      <x:c r="B31" s="14" t="str">
        <x:v>03 Identification &amp; Asset Management</x:v>
      </x:c>
      <x:c r="C31" s="14" t="str">
        <x:v>Asset classification scheme</x:v>
      </x:c>
      <x:c r="D31" s="14" t="str">
        <x:v>Apply classification criteria to ICT assets and information assets based on criticality and risk.</x:v>
      </x:c>
      <x:c r="E31" s="14" t="str">
        <x:v>Implement classification values and evidence fields for assets and functions.</x:v>
      </x:c>
      <x:c r="F31" s="14" t="str">
        <x:v>DORA_FULL; DORA_SIMPLIFIED</x:v>
      </x:c>
      <x:c r="G31" s="14" t="str">
        <x:v>Art. 8; Art. 16</x:v>
      </x:c>
      <x:c r="H31" s="14" t="str">
        <x:v>RTS 2024/1774</x:v>
      </x:c>
      <x:c r="I31" s="14" t="str">
        <x:v>Classification policy; CMDB classification; data classification records</x:v>
      </x:c>
      <x:c r="J31" s="14" t="str">
        <x:v>Annual + change</x:v>
      </x:c>
      <x:c r="K31" s="14" t="str">
        <x:v>CISO / Asset Owner</x:v>
      </x:c>
      <x:c r="L31" s="14" t="str">
        <x:v>Not Assessed</x:v>
      </x:c>
      <x:c r="M31" s="14" t="str">
        <x:v>High</x:v>
      </x:c>
      <x:c r="N31" s="14" t="str">
        <x:v>https://eur-lex.europa.eu/eli/reg_del/2024/1774/oj/eng</x:v>
      </x:c>
      <x:c r="O31" s="14" t="str"/>
    </x:row>
    <x:row r="32">
      <x:c r="A32" s="14" t="str">
        <x:v>DORA-ID-007</x:v>
      </x:c>
      <x:c r="B32" s="14" t="str">
        <x:v>03 Identification &amp; Asset Management</x:v>
      </x:c>
      <x:c r="C32" s="14" t="str">
        <x:v>Inventory update after change</x:v>
      </x:c>
      <x:c r="D32" s="14" t="str">
        <x:v>Ensure asset, data, function and dependency inventories are updated after changes.</x:v>
      </x:c>
      <x:c r="E32" s="14" t="str">
        <x:v>Trigger inventory update from change/project closure and supplier onboarding/offboarding.</x:v>
      </x:c>
      <x:c r="F32" s="14" t="str">
        <x:v>DORA_FULL; DORA_SIMPLIFIED</x:v>
      </x:c>
      <x:c r="G32" s="14" t="str">
        <x:v>Art. 8; Art. 16</x:v>
      </x:c>
      <x:c r="H32" s="14" t="str">
        <x:v>RTS 2024/1774</x:v>
      </x:c>
      <x:c r="I32" s="14" t="str">
        <x:v>Change tickets; CMDB updates; review logs</x:v>
      </x:c>
      <x:c r="J32" s="14" t="str">
        <x:v>Per change</x:v>
      </x:c>
      <x:c r="K32" s="14" t="str">
        <x:v>IT Operations / Change Manager</x:v>
      </x:c>
      <x:c r="L32" s="14" t="str">
        <x:v>Not Assessed</x:v>
      </x:c>
      <x:c r="M32" s="14" t="str">
        <x:v>High</x:v>
      </x:c>
      <x:c r="N32" s="14" t="str">
        <x:v>https://eur-lex.europa.eu/eli/reg_del/2024/1774/oj/eng</x:v>
      </x:c>
      <x:c r="O32" s="14" t="str"/>
    </x:row>
    <x:row r="33">
      <x:c r="A33" s="14" t="str">
        <x:v>DORA-ID-008</x:v>
      </x:c>
      <x:c r="B33" s="14" t="str">
        <x:v>03 Identification &amp; Asset Management</x:v>
      </x:c>
      <x:c r="C33" s="14" t="str">
        <x:v>Legacy and unsupported technology register</x:v>
      </x:c>
      <x:c r="D33" s="14" t="str">
        <x:v>Identify legacy, unsupported or end-of-life ICT assets and associated ICT risk.</x:v>
      </x:c>
      <x:c r="E33" s="14" t="str">
        <x:v>Add technology lifecycle fields and EOL risk workflow.</x:v>
      </x:c>
      <x:c r="F33" s="14" t="str">
        <x:v>DORA_FULL</x:v>
      </x:c>
      <x:c r="G33" s="14" t="str">
        <x:v>Art. 8; Art. 9</x:v>
      </x:c>
      <x:c r="H33" s="14" t="str">
        <x:v>RTS 2024/1774</x:v>
      </x:c>
      <x:c r="I33" s="14" t="str">
        <x:v>EOL register; risk assessments; migration plans</x:v>
      </x:c>
      <x:c r="J33" s="14" t="str">
        <x:v>Quarterly</x:v>
      </x:c>
      <x:c r="K33" s="14" t="str">
        <x:v>IT Operations</x:v>
      </x:c>
      <x:c r="L33" s="14" t="str">
        <x:v>Not Assessed</x:v>
      </x:c>
      <x:c r="M33" s="14" t="str">
        <x:v>High</x:v>
      </x:c>
      <x:c r="N33" s="14" t="str">
        <x:v>https://eur-lex.europa.eu/eli/reg_del/2024/1774/oj/eng</x:v>
      </x:c>
      <x:c r="O33" s="14" t="str"/>
    </x:row>
    <x:row r="34">
      <x:c r="A34" s="14" t="str">
        <x:v>DORA-ID-009</x:v>
      </x:c>
      <x:c r="B34" s="14" t="str">
        <x:v>03 Identification &amp; Asset Management</x:v>
      </x:c>
      <x:c r="C34" s="14" t="str">
        <x:v>Network and system architecture documentation</x:v>
      </x:c>
      <x:c r="D34" s="14" t="str">
        <x:v>Maintain architecture documentation for ICT systems, networks and interconnections.</x:v>
      </x:c>
      <x:c r="E34" s="14" t="str">
        <x:v>Store diagrams and connect them to assets, systems, functions and third parties.</x:v>
      </x:c>
      <x:c r="F34" s="14" t="str">
        <x:v>DORA_FULL</x:v>
      </x:c>
      <x:c r="G34" s="14" t="str">
        <x:v>Art. 8; Art. 9</x:v>
      </x:c>
      <x:c r="H34" s="14" t="str">
        <x:v>RTS 2024/1774</x:v>
      </x:c>
      <x:c r="I34" s="14" t="str">
        <x:v>Architecture diagrams; network maps; data flow diagrams</x:v>
      </x:c>
      <x:c r="J34" s="14" t="str">
        <x:v>Annual + change</x:v>
      </x:c>
      <x:c r="K34" s="14" t="str">
        <x:v>Enterprise Architect</x:v>
      </x:c>
      <x:c r="L34" s="14" t="str">
        <x:v>Not Assessed</x:v>
      </x:c>
      <x:c r="M34" s="14" t="str">
        <x:v>High</x:v>
      </x:c>
      <x:c r="N34" s="14" t="str">
        <x:v>https://eur-lex.europa.eu/eli/reg_del/2024/1774/oj/eng</x:v>
      </x:c>
      <x:c r="O34" s="14" t="str"/>
    </x:row>
    <x:row r="35">
      <x:c r="A35" s="14" t="str">
        <x:v>DORA-ID-010</x:v>
      </x:c>
      <x:c r="B35" s="14" t="str">
        <x:v>03 Identification &amp; Asset Management</x:v>
      </x:c>
      <x:c r="C35" s="14" t="str">
        <x:v>Business process and data flow mapping</x:v>
      </x:c>
      <x:c r="D35" s="14" t="str">
        <x:v>Document data flows and process dependencies relevant to critical or important functions.</x:v>
      </x:c>
      <x:c r="E35" s="14" t="str">
        <x:v>Link process maps and data flows to BIA, RoI, incident impact and continuity plans.</x:v>
      </x:c>
      <x:c r="F35" s="14" t="str">
        <x:v>DORA_FULL</x:v>
      </x:c>
      <x:c r="G35" s="14" t="str">
        <x:v>Art. 8; Art. 11; Art. 28</x:v>
      </x:c>
      <x:c r="H35" s="14" t="str">
        <x:v>RTS 2024/1774</x:v>
      </x:c>
      <x:c r="I35" s="14" t="str">
        <x:v>Process maps; data flow diagrams; BIA mappings</x:v>
      </x:c>
      <x:c r="J35" s="14" t="str">
        <x:v>Annual + change</x:v>
      </x:c>
      <x:c r="K35" s="14" t="str">
        <x:v>Business Owner / Data Owner</x:v>
      </x:c>
      <x:c r="L35" s="14" t="str">
        <x:v>Not Assessed</x:v>
      </x:c>
      <x:c r="M35" s="14" t="str">
        <x:v>High</x:v>
      </x:c>
      <x:c r="N35" s="14" t="str">
        <x:v>https://eur-lex.europa.eu/eli/reg_del/2024/1774/oj/eng</x:v>
      </x:c>
      <x:c r="O35" s="14" t="str"/>
    </x:row>
    <x:row r="36">
      <x:c r="A36" s="14" t="str">
        <x:v>DORA-PRO-001</x:v>
      </x:c>
      <x:c r="B36" s="14" t="str">
        <x:v>04 Protection &amp; Prevention</x:v>
      </x:c>
      <x:c r="C36" s="14" t="str">
        <x:v>Secure configuration baselines</x:v>
      </x:c>
      <x:c r="D36" s="14" t="str">
        <x:v>Establish secure configuration and hardening standards for ICT systems.</x:v>
      </x:c>
      <x:c r="E36" s="14" t="str">
        <x:v>Add baseline library and compliance checks against assets.</x:v>
      </x:c>
      <x:c r="F36" s="14" t="str">
        <x:v>DORA_FULL; DORA_SIMPLIFIED</x:v>
      </x:c>
      <x:c r="G36" s="14" t="str">
        <x:v>Art. 9; Art. 16</x:v>
      </x:c>
      <x:c r="H36" s="14" t="str">
        <x:v>RTS 2024/1774</x:v>
      </x:c>
      <x:c r="I36" s="14" t="str">
        <x:v>Hardening standards; configuration scans; exceptions</x:v>
      </x:c>
      <x:c r="J36" s="14" t="str">
        <x:v>Quarterly</x:v>
      </x:c>
      <x:c r="K36" s="14" t="str">
        <x:v>IT Security</x:v>
      </x:c>
      <x:c r="L36" s="14" t="str">
        <x:v>Not Assessed</x:v>
      </x:c>
      <x:c r="M36" s="14" t="str">
        <x:v>High</x:v>
      </x:c>
      <x:c r="N36" s="14" t="str">
        <x:v>https://eur-lex.europa.eu/eli/reg_del/2024/1774/oj/eng</x:v>
      </x:c>
      <x:c r="O36" s="14" t="str"/>
    </x:row>
    <x:row r="37">
      <x:c r="A37" s="14" t="str">
        <x:v>DORA-PRO-002</x:v>
      </x:c>
      <x:c r="B37" s="14" t="str">
        <x:v>04 Protection &amp; Prevention</x:v>
      </x:c>
      <x:c r="C37" s="14" t="str">
        <x:v>Identity and access management</x:v>
      </x:c>
      <x:c r="D37" s="14" t="str">
        <x:v>Control logical access to ICT systems and data according to least privilege and need-to-know.</x:v>
      </x:c>
      <x:c r="E37" s="14" t="str">
        <x:v>Track access policies, user lifecycle controls and access review evidence.</x:v>
      </x:c>
      <x:c r="F37" s="14" t="str">
        <x:v>DORA_FULL; DORA_SIMPLIFIED</x:v>
      </x:c>
      <x:c r="G37" s="14" t="str">
        <x:v>Art. 9; Art. 16</x:v>
      </x:c>
      <x:c r="H37" s="14" t="str">
        <x:v>RTS 2024/1774</x:v>
      </x:c>
      <x:c r="I37" s="14" t="str">
        <x:v>IAM policy; user provisioning records; access reviews</x:v>
      </x:c>
      <x:c r="J37" s="14" t="str">
        <x:v>Quarterly</x:v>
      </x:c>
      <x:c r="K37" s="14" t="str">
        <x:v>IAM Owner</x:v>
      </x:c>
      <x:c r="L37" s="14" t="str">
        <x:v>Not Assessed</x:v>
      </x:c>
      <x:c r="M37" s="14" t="str">
        <x:v>High</x:v>
      </x:c>
      <x:c r="N37" s="14" t="str">
        <x:v>https://eur-lex.europa.eu/eli/reg_del/2024/1774/oj/eng</x:v>
      </x:c>
      <x:c r="O37" s="14" t="str"/>
    </x:row>
    <x:row r="38">
      <x:c r="A38" s="14" t="str">
        <x:v>DORA-PRO-003</x:v>
      </x:c>
      <x:c r="B38" s="14" t="str">
        <x:v>04 Protection &amp; Prevention</x:v>
      </x:c>
      <x:c r="C38" s="14" t="str">
        <x:v>Privileged access management</x:v>
      </x:c>
      <x:c r="D38" s="14" t="str">
        <x:v>Protect, monitor and periodically review privileged access to critical ICT systems.</x:v>
      </x:c>
      <x:c r="E38" s="14" t="str">
        <x:v>Add privileged account inventory, approval, monitoring and recertification workflow.</x:v>
      </x:c>
      <x:c r="F38" s="14" t="str">
        <x:v>DORA_FULL; DORA_SIMPLIFIED</x:v>
      </x:c>
      <x:c r="G38" s="14" t="str">
        <x:v>Art. 9; Art. 16</x:v>
      </x:c>
      <x:c r="H38" s="14" t="str">
        <x:v>RTS 2024/1774</x:v>
      </x:c>
      <x:c r="I38" s="14" t="str">
        <x:v>PAM reports; admin account register; review evidence</x:v>
      </x:c>
      <x:c r="J38" s="14" t="str">
        <x:v>Monthly / quarterly</x:v>
      </x:c>
      <x:c r="K38" s="14" t="str">
        <x:v>IAM Owner / CISO</x:v>
      </x:c>
      <x:c r="L38" s="14" t="str">
        <x:v>Not Assessed</x:v>
      </x:c>
      <x:c r="M38" s="14" t="str">
        <x:v>High</x:v>
      </x:c>
      <x:c r="N38" s="14" t="str">
        <x:v>https://eur-lex.europa.eu/eli/reg_del/2024/1774/oj/eng</x:v>
      </x:c>
      <x:c r="O38" s="14" t="str"/>
    </x:row>
    <x:row r="39">
      <x:c r="A39" s="14" t="str">
        <x:v>DORA-PRO-004</x:v>
      </x:c>
      <x:c r="B39" s="14" t="str">
        <x:v>04 Protection &amp; Prevention</x:v>
      </x:c>
      <x:c r="C39" s="14" t="str">
        <x:v>Strong authentication for critical systems</x:v>
      </x:c>
      <x:c r="D39" s="14" t="str">
        <x:v>Use strong authentication controls for access to critical systems and remote access.</x:v>
      </x:c>
      <x:c r="E39" s="14" t="str">
        <x:v>Capture MFA coverage by system/user group and exceptions.</x:v>
      </x:c>
      <x:c r="F39" s="14" t="str">
        <x:v>DORA_FULL; DORA_SIMPLIFIED</x:v>
      </x:c>
      <x:c r="G39" s="14" t="str">
        <x:v>Art. 9; Art. 16</x:v>
      </x:c>
      <x:c r="H39" s="14" t="str">
        <x:v>RTS 2024/1774</x:v>
      </x:c>
      <x:c r="I39" s="14" t="str">
        <x:v>MFA reports; authentication policy; exception approvals</x:v>
      </x:c>
      <x:c r="J39" s="14" t="str">
        <x:v>Quarterly</x:v>
      </x:c>
      <x:c r="K39" s="14" t="str">
        <x:v>IAM Owner</x:v>
      </x:c>
      <x:c r="L39" s="14" t="str">
        <x:v>Not Assessed</x:v>
      </x:c>
      <x:c r="M39" s="14" t="str">
        <x:v>High</x:v>
      </x:c>
      <x:c r="N39" s="14" t="str">
        <x:v>https://eur-lex.europa.eu/eli/reg_del/2024/1774/oj/eng</x:v>
      </x:c>
      <x:c r="O39" s="14" t="str"/>
    </x:row>
    <x:row r="40">
      <x:c r="A40" s="14" t="str">
        <x:v>DORA-PRO-005</x:v>
      </x:c>
      <x:c r="B40" s="14" t="str">
        <x:v>04 Protection &amp; Prevention</x:v>
      </x:c>
      <x:c r="C40" s="14" t="str">
        <x:v>Access recertification</x:v>
      </x:c>
      <x:c r="D40" s="14" t="str">
        <x:v>Periodically review user access rights and remove excessive or obsolete access.</x:v>
      </x:c>
      <x:c r="E40" s="14" t="str">
        <x:v>Launch access recertification campaigns and track decisions/evidence.</x:v>
      </x:c>
      <x:c r="F40" s="14" t="str">
        <x:v>DORA_FULL; DORA_SIMPLIFIED</x:v>
      </x:c>
      <x:c r="G40" s="14" t="str">
        <x:v>Art. 9; Art. 16</x:v>
      </x:c>
      <x:c r="H40" s="14" t="str">
        <x:v>RTS 2024/1774</x:v>
      </x:c>
      <x:c r="I40" s="14" t="str">
        <x:v>Access review campaign; removal tickets; approvals</x:v>
      </x:c>
      <x:c r="J40" s="14" t="str">
        <x:v>Quarterly / semi-annual</x:v>
      </x:c>
      <x:c r="K40" s="14" t="str">
        <x:v>System Owners / IAM</x:v>
      </x:c>
      <x:c r="L40" s="14" t="str">
        <x:v>Not Assessed</x:v>
      </x:c>
      <x:c r="M40" s="14" t="str">
        <x:v>High</x:v>
      </x:c>
      <x:c r="N40" s="14" t="str">
        <x:v>https://eur-lex.europa.eu/eli/reg_del/2024/1774/oj/eng</x:v>
      </x:c>
      <x:c r="O40" s="14" t="str"/>
    </x:row>
    <x:row r="41">
      <x:c r="A41" s="14" t="str">
        <x:v>DORA-PRO-006</x:v>
      </x:c>
      <x:c r="B41" s="14" t="str">
        <x:v>04 Protection &amp; Prevention</x:v>
      </x:c>
      <x:c r="C41" s="14" t="str">
        <x:v>Network security and segmentation</x:v>
      </x:c>
      <x:c r="D41" s="14" t="str">
        <x:v>Protect networks through segmentation, boundary controls and secure communication paths.</x:v>
      </x:c>
      <x:c r="E41" s="14" t="str">
        <x:v>Map network zones, critical assets and control evidence for firewall/segmentation reviews.</x:v>
      </x:c>
      <x:c r="F41" s="14" t="str">
        <x:v>DORA_FULL; DORA_SIMPLIFIED</x:v>
      </x:c>
      <x:c r="G41" s="14" t="str">
        <x:v>Art. 9; Art. 16</x:v>
      </x:c>
      <x:c r="H41" s="14" t="str">
        <x:v>RTS 2024/1774</x:v>
      </x:c>
      <x:c r="I41" s="14" t="str">
        <x:v>Network diagrams; firewall rules review; segmentation tests</x:v>
      </x:c>
      <x:c r="J41" s="14" t="str">
        <x:v>Quarterly</x:v>
      </x:c>
      <x:c r="K41" s="14" t="str">
        <x:v>Network Security</x:v>
      </x:c>
      <x:c r="L41" s="14" t="str">
        <x:v>Not Assessed</x:v>
      </x:c>
      <x:c r="M41" s="14" t="str">
        <x:v>High</x:v>
      </x:c>
      <x:c r="N41" s="14" t="str">
        <x:v>https://eur-lex.europa.eu/eli/reg_del/2024/1774/oj/eng</x:v>
      </x:c>
      <x:c r="O41" s="14" t="str"/>
    </x:row>
    <x:row r="42">
      <x:c r="A42" s="14" t="str">
        <x:v>DORA-PRO-007</x:v>
      </x:c>
      <x:c r="B42" s="14" t="str">
        <x:v>04 Protection &amp; Prevention</x:v>
      </x:c>
      <x:c r="C42" s="14" t="str">
        <x:v>Cryptography and key management</x:v>
      </x:c>
      <x:c r="D42" s="14" t="str">
        <x:v>Protect data confidentiality and integrity through appropriate cryptographic controls.</x:v>
      </x:c>
      <x:c r="E42" s="14" t="str">
        <x:v>Maintain cryptography standard, key inventory and certificate/key lifecycle evidence.</x:v>
      </x:c>
      <x:c r="F42" s="14" t="str">
        <x:v>DORA_FULL; DORA_SIMPLIFIED</x:v>
      </x:c>
      <x:c r="G42" s="14" t="str">
        <x:v>Art. 9; Art. 16</x:v>
      </x:c>
      <x:c r="H42" s="14" t="str">
        <x:v>RTS 2024/1774</x:v>
      </x:c>
      <x:c r="I42" s="14" t="str">
        <x:v>Encryption policy; key inventory; certificate reports</x:v>
      </x:c>
      <x:c r="J42" s="14" t="str">
        <x:v>Annual / continuous</x:v>
      </x:c>
      <x:c r="K42" s="14" t="str">
        <x:v>CISO / IT Security</x:v>
      </x:c>
      <x:c r="L42" s="14" t="str">
        <x:v>Not Assessed</x:v>
      </x:c>
      <x:c r="M42" s="14" t="str">
        <x:v>High</x:v>
      </x:c>
      <x:c r="N42" s="14" t="str">
        <x:v>https://eur-lex.europa.eu/eli/reg_del/2024/1774/oj/eng</x:v>
      </x:c>
      <x:c r="O42" s="14" t="str"/>
    </x:row>
    <x:row r="43">
      <x:c r="A43" s="14" t="str">
        <x:v>DORA-PRO-008</x:v>
      </x:c>
      <x:c r="B43" s="14" t="str">
        <x:v>04 Protection &amp; Prevention</x:v>
      </x:c>
      <x:c r="C43" s="14" t="str">
        <x:v>Data security controls</x:v>
      </x:c>
      <x:c r="D43" s="14" t="str">
        <x:v>Protect data against unauthorised access, alteration, loss and leakage.</x:v>
      </x:c>
      <x:c r="E43" s="14" t="str">
        <x:v>Map data classes to protection measures such as encryption, masking, DLP and secure storage.</x:v>
      </x:c>
      <x:c r="F43" s="14" t="str">
        <x:v>DORA_FULL; DORA_SIMPLIFIED</x:v>
      </x:c>
      <x:c r="G43" s="14" t="str">
        <x:v>Art. 9; Art. 16</x:v>
      </x:c>
      <x:c r="H43" s="14" t="str">
        <x:v>RTS 2024/1774</x:v>
      </x:c>
      <x:c r="I43" s="14" t="str">
        <x:v>Data security policy; DLP logs; encryption evidence</x:v>
      </x:c>
      <x:c r="J43" s="14" t="str">
        <x:v>Quarterly</x:v>
      </x:c>
      <x:c r="K43" s="14" t="str">
        <x:v>Data Owner / CISO</x:v>
      </x:c>
      <x:c r="L43" s="14" t="str">
        <x:v>Not Assessed</x:v>
      </x:c>
      <x:c r="M43" s="14" t="str">
        <x:v>High</x:v>
      </x:c>
      <x:c r="N43" s="14" t="str">
        <x:v>https://eur-lex.europa.eu/eli/reg_del/2024/1774/oj/eng</x:v>
      </x:c>
      <x:c r="O43" s="14" t="str"/>
    </x:row>
    <x:row r="44">
      <x:c r="A44" s="14" t="str">
        <x:v>DORA-PRO-009</x:v>
      </x:c>
      <x:c r="B44" s="14" t="str">
        <x:v>04 Protection &amp; Prevention</x:v>
      </x:c>
      <x:c r="C44" s="14" t="str">
        <x:v>Endpoint and server protection</x:v>
      </x:c>
      <x:c r="D44" s="14" t="str">
        <x:v>Deploy protection measures for endpoints, servers and workloads supporting ICT services.</x:v>
      </x:c>
      <x:c r="E44" s="14" t="str">
        <x:v>Track EDR/AV coverage, exceptions and critical asset exposure.</x:v>
      </x:c>
      <x:c r="F44" s="14" t="str">
        <x:v>DORA_FULL; DORA_SIMPLIFIED</x:v>
      </x:c>
      <x:c r="G44" s="14" t="str">
        <x:v>Art. 9; Art. 16</x:v>
      </x:c>
      <x:c r="H44" s="14" t="str">
        <x:v>RTS 2024/1774</x:v>
      </x:c>
      <x:c r="I44" s="14" t="str">
        <x:v>EDR reports; coverage dashboards; exception list</x:v>
      </x:c>
      <x:c r="J44" s="14" t="str">
        <x:v>Monthly</x:v>
      </x:c>
      <x:c r="K44" s="14" t="str">
        <x:v>IT Security Operations</x:v>
      </x:c>
      <x:c r="L44" s="14" t="str">
        <x:v>Not Assessed</x:v>
      </x:c>
      <x:c r="M44" s="14" t="str">
        <x:v>High</x:v>
      </x:c>
      <x:c r="N44" s="14" t="str">
        <x:v>https://eur-lex.europa.eu/eli/reg_del/2024/1774/oj/eng</x:v>
      </x:c>
      <x:c r="O44" s="14" t="str"/>
    </x:row>
    <x:row r="45">
      <x:c r="A45" s="14" t="str">
        <x:v>DORA-PRO-010</x:v>
      </x:c>
      <x:c r="B45" s="14" t="str">
        <x:v>04 Protection &amp; Prevention</x:v>
      </x:c>
      <x:c r="C45" s="14" t="str">
        <x:v>Vulnerability and patch management</x:v>
      </x:c>
      <x:c r="D45" s="14" t="str">
        <x:v>Identify, prioritise and remediate vulnerabilities affecting ICT systems.</x:v>
      </x:c>
      <x:c r="E45" s="14" t="str">
        <x:v>Integrate vulnerability results, SLA tracking, risk acceptance and remediation proof.</x:v>
      </x:c>
      <x:c r="F45" s="14" t="str">
        <x:v>DORA_FULL; DORA_SIMPLIFIED</x:v>
      </x:c>
      <x:c r="G45" s="14" t="str">
        <x:v>Art. 9; Art. 16</x:v>
      </x:c>
      <x:c r="H45" s="14" t="str">
        <x:v>RTS 2024/1774</x:v>
      </x:c>
      <x:c r="I45" s="14" t="str">
        <x:v>Vulnerability scan reports; patch records; SLA dashboards</x:v>
      </x:c>
      <x:c r="J45" s="14" t="str">
        <x:v>Monthly / risk-based</x:v>
      </x:c>
      <x:c r="K45" s="14" t="str">
        <x:v>IT Operations / Security</x:v>
      </x:c>
      <x:c r="L45" s="14" t="str">
        <x:v>Not Assessed</x:v>
      </x:c>
      <x:c r="M45" s="14" t="str">
        <x:v>High</x:v>
      </x:c>
      <x:c r="N45" s="14" t="str">
        <x:v>https://eur-lex.europa.eu/eli/reg_del/2024/1774/oj/eng</x:v>
      </x:c>
      <x:c r="O45" s="14" t="str"/>
    </x:row>
    <x:row r="46">
      <x:c r="A46" s="14" t="str">
        <x:v>DORA-PRO-011</x:v>
      </x:c>
      <x:c r="B46" s="14" t="str">
        <x:v>04 Protection &amp; Prevention</x:v>
      </x:c>
      <x:c r="C46" s="14" t="str">
        <x:v>Malware protection</x:v>
      </x:c>
      <x:c r="D46" s="14" t="str">
        <x:v>Implement measures to prevent, detect and contain malicious code.</x:v>
      </x:c>
      <x:c r="E46" s="14" t="str">
        <x:v>Collect malware protection coverage, alert and remediation evidence.</x:v>
      </x:c>
      <x:c r="F46" s="14" t="str">
        <x:v>DORA_FULL; DORA_SIMPLIFIED</x:v>
      </x:c>
      <x:c r="G46" s="14" t="str">
        <x:v>Art. 9; Art. 10; Art. 16</x:v>
      </x:c>
      <x:c r="H46" s="14" t="str">
        <x:v>RTS 2024/1774</x:v>
      </x:c>
      <x:c r="I46" s="14" t="str">
        <x:v>Malware protection policy; EDR alerts; remediation logs</x:v>
      </x:c>
      <x:c r="J46" s="14" t="str">
        <x:v>Monthly</x:v>
      </x:c>
      <x:c r="K46" s="14" t="str">
        <x:v>Security Operations</x:v>
      </x:c>
      <x:c r="L46" s="14" t="str">
        <x:v>Not Assessed</x:v>
      </x:c>
      <x:c r="M46" s="14" t="str">
        <x:v>High</x:v>
      </x:c>
      <x:c r="N46" s="14" t="str">
        <x:v>https://eur-lex.europa.eu/eli/reg_del/2024/1774/oj/eng</x:v>
      </x:c>
      <x:c r="O46" s="14" t="str"/>
    </x:row>
    <x:row r="47">
      <x:c r="A47" s="14" t="str">
        <x:v>DORA-PRO-012</x:v>
      </x:c>
      <x:c r="B47" s="14" t="str">
        <x:v>04 Protection &amp; Prevention</x:v>
      </x:c>
      <x:c r="C47" s="14" t="str">
        <x:v>Log protection and traceability</x:v>
      </x:c>
      <x:c r="D47" s="14" t="str">
        <x:v>Ensure security logs are collected, protected from tampering and retained according to risk.</x:v>
      </x:c>
      <x:c r="E47" s="14" t="str">
        <x:v>Track log sources, retention, integrity controls and gaps for critical systems.</x:v>
      </x:c>
      <x:c r="F47" s="14" t="str">
        <x:v>DORA_FULL; DORA_SIMPLIFIED</x:v>
      </x:c>
      <x:c r="G47" s="14" t="str">
        <x:v>Art. 9; Art. 10; Art. 16</x:v>
      </x:c>
      <x:c r="H47" s="14" t="str">
        <x:v>RTS 2024/1774</x:v>
      </x:c>
      <x:c r="I47" s="14" t="str">
        <x:v>Logging standard; SIEM source list; retention configuration</x:v>
      </x:c>
      <x:c r="J47" s="14" t="str">
        <x:v>Quarterly</x:v>
      </x:c>
      <x:c r="K47" s="14" t="str">
        <x:v>Security Operations</x:v>
      </x:c>
      <x:c r="L47" s="14" t="str">
        <x:v>Not Assessed</x:v>
      </x:c>
      <x:c r="M47" s="14" t="str">
        <x:v>High</x:v>
      </x:c>
      <x:c r="N47" s="14" t="str">
        <x:v>https://eur-lex.europa.eu/eli/reg_del/2024/1774/oj/eng</x:v>
      </x:c>
      <x:c r="O47" s="14" t="str"/>
    </x:row>
    <x:row r="48">
      <x:c r="A48" s="14" t="str">
        <x:v>DORA-PRO-013</x:v>
      </x:c>
      <x:c r="B48" s="14" t="str">
        <x:v>04 Protection &amp; Prevention</x:v>
      </x:c>
      <x:c r="C48" s="14" t="str">
        <x:v>Physical and environmental security</x:v>
      </x:c>
      <x:c r="D48" s="14" t="str">
        <x:v>Protect premises, data centres and ICT infrastructure against physical and environmental threats.</x:v>
      </x:c>
      <x:c r="E48" s="14" t="str">
        <x:v>Record facility controls, environmental monitoring, access review and data centre attestations.</x:v>
      </x:c>
      <x:c r="F48" s="14" t="str">
        <x:v>DORA_FULL; DORA_SIMPLIFIED</x:v>
      </x:c>
      <x:c r="G48" s="14" t="str">
        <x:v>Art. 9; Art. 16</x:v>
      </x:c>
      <x:c r="H48" s="14" t="str">
        <x:v>RTS 2024/1774</x:v>
      </x:c>
      <x:c r="I48" s="14" t="str">
        <x:v>Facility access logs; data centre attestations; environmental reports</x:v>
      </x:c>
      <x:c r="J48" s="14" t="str">
        <x:v>Annual / quarterly</x:v>
      </x:c>
      <x:c r="K48" s="14" t="str">
        <x:v>Facilities / IT Operations</x:v>
      </x:c>
      <x:c r="L48" s="14" t="str">
        <x:v>Not Assessed</x:v>
      </x:c>
      <x:c r="M48" s="14" t="str">
        <x:v>High</x:v>
      </x:c>
      <x:c r="N48" s="14" t="str">
        <x:v>https://eur-lex.europa.eu/eli/reg_del/2024/1774/oj/eng</x:v>
      </x:c>
      <x:c r="O48" s="14" t="str"/>
    </x:row>
    <x:row r="49">
      <x:c r="A49" s="14" t="str">
        <x:v>DORA-PRO-014</x:v>
      </x:c>
      <x:c r="B49" s="14" t="str">
        <x:v>04 Protection &amp; Prevention</x:v>
      </x:c>
      <x:c r="C49" s="14" t="str">
        <x:v>Secure change management</x:v>
      </x:c>
      <x:c r="D49" s="14" t="str">
        <x:v>Manage ICT changes through controlled approval, testing, rollback and risk assessment.</x:v>
      </x:c>
      <x:c r="E49" s="14" t="str">
        <x:v>Create DORA change control gates for critical systems and functions.</x:v>
      </x:c>
      <x:c r="F49" s="14" t="str">
        <x:v>DORA_FULL; DORA_SIMPLIFIED</x:v>
      </x:c>
      <x:c r="G49" s="14" t="str">
        <x:v>Art. 9; Art. 16</x:v>
      </x:c>
      <x:c r="H49" s="14" t="str">
        <x:v>RTS 2024/1774</x:v>
      </x:c>
      <x:c r="I49" s="14" t="str">
        <x:v>Change tickets; CAB minutes; testing and rollback evidence</x:v>
      </x:c>
      <x:c r="J49" s="14" t="str">
        <x:v>Per change</x:v>
      </x:c>
      <x:c r="K49" s="14" t="str">
        <x:v>Change Manager</x:v>
      </x:c>
      <x:c r="L49" s="14" t="str">
        <x:v>Not Assessed</x:v>
      </x:c>
      <x:c r="M49" s="14" t="str">
        <x:v>High</x:v>
      </x:c>
      <x:c r="N49" s="14" t="str">
        <x:v>https://eur-lex.europa.eu/eli/reg_del/2024/1774/oj/eng</x:v>
      </x:c>
      <x:c r="O49" s="14" t="str"/>
    </x:row>
    <x:row r="50">
      <x:c r="A50" s="14" t="str">
        <x:v>DORA-PRO-015</x:v>
      </x:c>
      <x:c r="B50" s="14" t="str">
        <x:v>04 Protection &amp; Prevention</x:v>
      </x:c>
      <x:c r="C50" s="14" t="str">
        <x:v>Secure acquisition, development and maintenance</x:v>
      </x:c>
      <x:c r="D50" s="14" t="str">
        <x:v>Apply security requirements across ICT system acquisition, development and maintenance.</x:v>
      </x:c>
      <x:c r="E50" s="14" t="str">
        <x:v>Track secure SDLC controls, code reviews, security tests and supplier/product due diligence.</x:v>
      </x:c>
      <x:c r="F50" s="14" t="str">
        <x:v>DORA_FULL; DORA_SIMPLIFIED</x:v>
      </x:c>
      <x:c r="G50" s="14" t="str">
        <x:v>Art. 9; Art. 16</x:v>
      </x:c>
      <x:c r="H50" s="14" t="str">
        <x:v>RTS 2024/1774</x:v>
      </x:c>
      <x:c r="I50" s="14" t="str">
        <x:v>SDLC policy; security requirements; code review/test evidence</x:v>
      </x:c>
      <x:c r="J50" s="14" t="str">
        <x:v>Per project / release</x:v>
      </x:c>
      <x:c r="K50" s="14" t="str">
        <x:v>Application Owner / DevSecOps</x:v>
      </x:c>
      <x:c r="L50" s="14" t="str">
        <x:v>Not Assessed</x:v>
      </x:c>
      <x:c r="M50" s="14" t="str">
        <x:v>High</x:v>
      </x:c>
      <x:c r="N50" s="14" t="str">
        <x:v>https://eur-lex.europa.eu/eli/reg_del/2024/1774/oj/eng</x:v>
      </x:c>
      <x:c r="O50" s="14" t="str"/>
    </x:row>
    <x:row r="51">
      <x:c r="A51" s="14" t="str">
        <x:v>DORA-PRO-016</x:v>
      </x:c>
      <x:c r="B51" s="14" t="str">
        <x:v>04 Protection &amp; Prevention</x:v>
      </x:c>
      <x:c r="C51" s="14" t="str">
        <x:v>ICT operations, capacity and performance controls</x:v>
      </x:c>
      <x:c r="D51" s="14" t="str">
        <x:v>Operate ICT systems securely and monitor capacity/performance for resilience.</x:v>
      </x:c>
      <x:c r="E51" s="14" t="str">
        <x:v>Capture capacity plans, performance thresholds, job monitoring and operational procedures.</x:v>
      </x:c>
      <x:c r="F51" s="14" t="str">
        <x:v>DORA_FULL; DORA_SIMPLIFIED</x:v>
      </x:c>
      <x:c r="G51" s="14" t="str">
        <x:v>Art. 7; Art. 9; Art. 10; Art. 16</x:v>
      </x:c>
      <x:c r="H51" s="14" t="str">
        <x:v>RTS 2024/1774</x:v>
      </x:c>
      <x:c r="I51" s="14" t="str">
        <x:v>Operations runbooks; capacity reports; monitoring dashboards</x:v>
      </x:c>
      <x:c r="J51" s="14" t="str">
        <x:v>Monthly</x:v>
      </x:c>
      <x:c r="K51" s="14" t="str">
        <x:v>IT Operations</x:v>
      </x:c>
      <x:c r="L51" s="14" t="str">
        <x:v>Not Assessed</x:v>
      </x:c>
      <x:c r="M51" s="14" t="str">
        <x:v>High</x:v>
      </x:c>
      <x:c r="N51" s="14" t="str">
        <x:v>https://eur-lex.europa.eu/eli/reg_del/2024/1774/oj/eng</x:v>
      </x:c>
      <x:c r="O51" s="14" t="str"/>
    </x:row>
    <x:row r="52">
      <x:c r="A52" s="14" t="str">
        <x:v>DORA-PRO-017</x:v>
      </x:c>
      <x:c r="B52" s="14" t="str">
        <x:v>04 Protection &amp; Prevention</x:v>
      </x:c>
      <x:c r="C52" s="14" t="str">
        <x:v>Data integrity controls</x:v>
      </x:c>
      <x:c r="D52" s="14" t="str">
        <x:v>Protect the authenticity, integrity and availability of data and services.</x:v>
      </x:c>
      <x:c r="E52" s="14" t="str">
        <x:v>Track integrity checks, reconciliation controls and tamper protection for critical processes.</x:v>
      </x:c>
      <x:c r="F52" s="14" t="str">
        <x:v>DORA_FULL; DORA_SIMPLIFIED</x:v>
      </x:c>
      <x:c r="G52" s="14" t="str">
        <x:v>Art. 7; Art. 9; Art. 16</x:v>
      </x:c>
      <x:c r="H52" s="14" t="str">
        <x:v>RTS 2024/1774</x:v>
      </x:c>
      <x:c r="I52" s="14" t="str">
        <x:v>Integrity check reports; reconciliation logs; control evidence</x:v>
      </x:c>
      <x:c r="J52" s="14" t="str">
        <x:v>Monthly / risk-based</x:v>
      </x:c>
      <x:c r="K52" s="14" t="str">
        <x:v>Application Owner / Data Owner</x:v>
      </x:c>
      <x:c r="L52" s="14" t="str">
        <x:v>Not Assessed</x:v>
      </x:c>
      <x:c r="M52" s="14" t="str">
        <x:v>High</x:v>
      </x:c>
      <x:c r="N52" s="14" t="str">
        <x:v>https://eur-lex.europa.eu/eli/reg_del/2024/1774/oj/eng</x:v>
      </x:c>
      <x:c r="O52" s="14" t="str"/>
    </x:row>
    <x:row r="53">
      <x:c r="A53" s="14" t="str">
        <x:v>DORA-PRO-018</x:v>
      </x:c>
      <x:c r="B53" s="14" t="str">
        <x:v>04 Protection &amp; Prevention</x:v>
      </x:c>
      <x:c r="C53" s="14" t="str">
        <x:v>Remote and third-party access control</x:v>
      </x:c>
      <x:c r="D53" s="14" t="str">
        <x:v>Control remote access and third-party access to ICT systems and data.</x:v>
      </x:c>
      <x:c r="E53" s="14" t="str">
        <x:v>Track vendor remote access approvals, MFA, time bounds, logging and recertification.</x:v>
      </x:c>
      <x:c r="F53" s="14" t="str">
        <x:v>DORA_FULL; DORA_SIMPLIFIED; THIRD_PARTY</x:v>
      </x:c>
      <x:c r="G53" s="14" t="str">
        <x:v>Art. 9; Art. 28; Art. 30</x:v>
      </x:c>
      <x:c r="H53" s="14" t="str">
        <x:v>RTS 2024/1774; RTS 2024/1773</x:v>
      </x:c>
      <x:c r="I53" s="14" t="str">
        <x:v>Remote access policy; vendor access logs; review evidence</x:v>
      </x:c>
      <x:c r="J53" s="14" t="str">
        <x:v>Monthly / quarterly</x:v>
      </x:c>
      <x:c r="K53" s="14" t="str">
        <x:v>IT Security / Third-Party Risk</x:v>
      </x:c>
      <x:c r="L53" s="14" t="str">
        <x:v>Not Assessed</x:v>
      </x:c>
      <x:c r="M53" s="14" t="str">
        <x:v>High</x:v>
      </x:c>
      <x:c r="N53" s="14" t="str">
        <x:v>https://eur-lex.europa.eu/eli/reg_del/2024/1773/oj/eng</x:v>
      </x:c>
      <x:c r="O53" s="14" t="str"/>
    </x:row>
    <x:row r="54">
      <x:c r="A54" s="14" t="str">
        <x:v>DORA-DET-001</x:v>
      </x:c>
      <x:c r="B54" s="14" t="str">
        <x:v>05 Detection &amp; Monitoring</x:v>
      </x:c>
      <x:c r="C54" s="14" t="str">
        <x:v>Availability and performance monitoring</x:v>
      </x:c>
      <x:c r="D54" s="14" t="str">
        <x:v>Monitor ICT systems to identify availability and performance issues affecting services.</x:v>
      </x:c>
      <x:c r="E54" s="14" t="str">
        <x:v>Link monitoring coverage to critical systems, alert thresholds and incident workflow.</x:v>
      </x:c>
      <x:c r="F54" s="14" t="str">
        <x:v>DORA_FULL; DORA_SIMPLIFIED</x:v>
      </x:c>
      <x:c r="G54" s="14" t="str">
        <x:v>Art. 10; Art. 16</x:v>
      </x:c>
      <x:c r="H54" s="14" t="str">
        <x:v>RTS 2024/1774</x:v>
      </x:c>
      <x:c r="I54" s="14" t="str">
        <x:v>Monitoring dashboards; uptime reports; alert definitions</x:v>
      </x:c>
      <x:c r="J54" s="14" t="str">
        <x:v>Continuous</x:v>
      </x:c>
      <x:c r="K54" s="14" t="str">
        <x:v>IT Operations</x:v>
      </x:c>
      <x:c r="L54" s="14" t="str">
        <x:v>Not Assessed</x:v>
      </x:c>
      <x:c r="M54" s="14" t="str">
        <x:v>High</x:v>
      </x:c>
      <x:c r="N54" s="14" t="str">
        <x:v>https://eur-lex.europa.eu/eli/reg_del/2024/1774/oj/eng</x:v>
      </x:c>
      <x:c r="O54" s="14" t="str"/>
    </x:row>
    <x:row r="55">
      <x:c r="A55" s="14" t="str">
        <x:v>DORA-DET-002</x:v>
      </x:c>
      <x:c r="B55" s="14" t="str">
        <x:v>05 Detection &amp; Monitoring</x:v>
      </x:c>
      <x:c r="C55" s="14" t="str">
        <x:v>Anomalous activity detection</x:v>
      </x:c>
      <x:c r="D55" s="14" t="str">
        <x:v>Detect anomalous activity that could indicate ICT or security incidents.</x:v>
      </x:c>
      <x:c r="E55" s="14" t="str">
        <x:v>Configure detection criteria and evidence for SIEM/EDR/NDR use cases.</x:v>
      </x:c>
      <x:c r="F55" s="14" t="str">
        <x:v>DORA_FULL; DORA_SIMPLIFIED</x:v>
      </x:c>
      <x:c r="G55" s="14" t="str">
        <x:v>Art. 10; Art. 16</x:v>
      </x:c>
      <x:c r="H55" s="14" t="str">
        <x:v>RTS 2024/1774</x:v>
      </x:c>
      <x:c r="I55" s="14" t="str">
        <x:v>SIEM use cases; alerts; tuning records; incident tickets</x:v>
      </x:c>
      <x:c r="J55" s="14" t="str">
        <x:v>Continuous</x:v>
      </x:c>
      <x:c r="K55" s="14" t="str">
        <x:v>Security Operations</x:v>
      </x:c>
      <x:c r="L55" s="14" t="str">
        <x:v>Not Assessed</x:v>
      </x:c>
      <x:c r="M55" s="14" t="str">
        <x:v>High</x:v>
      </x:c>
      <x:c r="N55" s="14" t="str">
        <x:v>https://eur-lex.europa.eu/eli/reg_del/2024/1774/oj/eng</x:v>
      </x:c>
      <x:c r="O55" s="14" t="str"/>
    </x:row>
    <x:row r="56">
      <x:c r="A56" s="14" t="str">
        <x:v>DORA-DET-003</x:v>
      </x:c>
      <x:c r="B56" s="14" t="str">
        <x:v>05 Detection &amp; Monitoring</x:v>
      </x:c>
      <x:c r="C56" s="14" t="str">
        <x:v>Network performance and security monitoring</x:v>
      </x:c>
      <x:c r="D56" s="14" t="str">
        <x:v>Detect network performance problems and network-related security events.</x:v>
      </x:c>
      <x:c r="E56" s="14" t="str">
        <x:v>Track network monitoring scope, alerts and incident correlation.</x:v>
      </x:c>
      <x:c r="F56" s="14" t="str">
        <x:v>DORA_FULL; DORA_SIMPLIFIED</x:v>
      </x:c>
      <x:c r="G56" s="14" t="str">
        <x:v>Art. 10; Art. 16</x:v>
      </x:c>
      <x:c r="H56" s="14" t="str">
        <x:v>RTS 2024/1774</x:v>
      </x:c>
      <x:c r="I56" s="14" t="str">
        <x:v>Network monitoring reports; alert logs; NDR/SIEM evidence</x:v>
      </x:c>
      <x:c r="J56" s="14" t="str">
        <x:v>Continuous</x:v>
      </x:c>
      <x:c r="K56" s="14" t="str">
        <x:v>Network Operations / SOC</x:v>
      </x:c>
      <x:c r="L56" s="14" t="str">
        <x:v>Not Assessed</x:v>
      </x:c>
      <x:c r="M56" s="14" t="str">
        <x:v>High</x:v>
      </x:c>
      <x:c r="N56" s="14" t="str">
        <x:v>https://eur-lex.europa.eu/eli/reg_del/2024/1774/oj/eng</x:v>
      </x:c>
      <x:c r="O56" s="14" t="str"/>
    </x:row>
    <x:row r="57">
      <x:c r="A57" s="14" t="str">
        <x:v>DORA-DET-004</x:v>
      </x:c>
      <x:c r="B57" s="14" t="str">
        <x:v>05 Detection &amp; Monitoring</x:v>
      </x:c>
      <x:c r="C57" s="14" t="str">
        <x:v>Security logging and SIEM use cases</x:v>
      </x:c>
      <x:c r="D57" s="14" t="str">
        <x:v>Maintain security monitoring use cases and alerting for material ICT threats.</x:v>
      </x:c>
      <x:c r="E57" s="14" t="str">
        <x:v>Add coverage matrix mapping log sources to detection use cases and critical functions.</x:v>
      </x:c>
      <x:c r="F57" s="14" t="str">
        <x:v>DORA_FULL; DORA_SIMPLIFIED</x:v>
      </x:c>
      <x:c r="G57" s="14" t="str">
        <x:v>Art. 10; Art. 16</x:v>
      </x:c>
      <x:c r="H57" s="14" t="str">
        <x:v>RTS 2024/1774</x:v>
      </x:c>
      <x:c r="I57" s="14" t="str">
        <x:v>SIEM use case catalogue; log source inventory; alert review</x:v>
      </x:c>
      <x:c r="J57" s="14" t="str">
        <x:v>Quarterly</x:v>
      </x:c>
      <x:c r="K57" s="14" t="str">
        <x:v>SOC Manager</x:v>
      </x:c>
      <x:c r="L57" s="14" t="str">
        <x:v>Not Assessed</x:v>
      </x:c>
      <x:c r="M57" s="14" t="str">
        <x:v>High</x:v>
      </x:c>
      <x:c r="N57" s="14" t="str">
        <x:v>https://eur-lex.europa.eu/eli/reg_del/2024/1774/oj/eng</x:v>
      </x:c>
      <x:c r="O57" s="14" t="str"/>
    </x:row>
    <x:row r="58">
      <x:c r="A58" s="14" t="str">
        <x:v>DORA-DET-005</x:v>
      </x:c>
      <x:c r="B58" s="14" t="str">
        <x:v>05 Detection &amp; Monitoring</x:v>
      </x:c>
      <x:c r="C58" s="14" t="str">
        <x:v>Alert thresholds and incident triggers</x:v>
      </x:c>
      <x:c r="D58" s="14" t="str">
        <x:v>Define alert thresholds and criteria to initiate ICT-related incident response.</x:v>
      </x:c>
      <x:c r="E58" s="14" t="str">
        <x:v>Allow threshold records to trigger classification workflow and escalation SLA.</x:v>
      </x:c>
      <x:c r="F58" s="14" t="str">
        <x:v>DORA_FULL; DORA_SIMPLIFIED</x:v>
      </x:c>
      <x:c r="G58" s="14" t="str">
        <x:v>Art. 10; Art. 17; Art. 16</x:v>
      </x:c>
      <x:c r="H58" s="14" t="str">
        <x:v>RTS 2024/1774</x:v>
      </x:c>
      <x:c r="I58" s="14" t="str">
        <x:v>Alert threshold matrix; incident trigger rules; escalation criteria</x:v>
      </x:c>
      <x:c r="J58" s="14" t="str">
        <x:v>Quarterly</x:v>
      </x:c>
      <x:c r="K58" s="14" t="str">
        <x:v>SOC Manager / Incident Manager</x:v>
      </x:c>
      <x:c r="L58" s="14" t="str">
        <x:v>Not Assessed</x:v>
      </x:c>
      <x:c r="M58" s="14" t="str">
        <x:v>High</x:v>
      </x:c>
      <x:c r="N58" s="14" t="str">
        <x:v>https://eur-lex.europa.eu/eli/reg_del/2024/1774/oj/eng</x:v>
      </x:c>
      <x:c r="O58" s="14" t="str"/>
    </x:row>
    <x:row r="59">
      <x:c r="A59" s="14" t="str">
        <x:v>DORA-DET-006</x:v>
      </x:c>
      <x:c r="B59" s="14" t="str">
        <x:v>05 Detection &amp; Monitoring</x:v>
      </x:c>
      <x:c r="C59" s="14" t="str">
        <x:v>Threat intelligence monitoring</x:v>
      </x:c>
      <x:c r="D59" s="14" t="str">
        <x:v>Use cyber threat information to improve detection, prevention and response.</x:v>
      </x:c>
      <x:c r="E59" s="14" t="str">
        <x:v>Track threat intelligence sources, relevancy to critical functions and action logs.</x:v>
      </x:c>
      <x:c r="F59" s="14" t="str">
        <x:v>DORA_FULL</x:v>
      </x:c>
      <x:c r="G59" s="14" t="str">
        <x:v>Art. 10; Art. 13; Art. 45</x:v>
      </x:c>
      <x:c r="H59" s="14" t="str">
        <x:v>RTS 2024/1774</x:v>
      </x:c>
      <x:c r="I59" s="14" t="str">
        <x:v>Threat intel reports; action records; detection updates</x:v>
      </x:c>
      <x:c r="J59" s="14" t="str">
        <x:v>Monthly</x:v>
      </x:c>
      <x:c r="K59" s="14" t="str">
        <x:v>Threat Intelligence / SOC</x:v>
      </x:c>
      <x:c r="L59" s="14" t="str">
        <x:v>Not Assessed</x:v>
      </x:c>
      <x:c r="M59" s="14" t="str">
        <x:v>High</x:v>
      </x:c>
      <x:c r="N59" s="14" t="str">
        <x:v>https://eur-lex.europa.eu/eli/reg_del/2024/1774/oj/eng</x:v>
      </x:c>
      <x:c r="O59" s="14" t="str"/>
    </x:row>
    <x:row r="60">
      <x:c r="A60" s="14" t="str">
        <x:v>DORA-DET-007</x:v>
      </x:c>
      <x:c r="B60" s="14" t="str">
        <x:v>05 Detection &amp; Monitoring</x:v>
      </x:c>
      <x:c r="C60" s="14" t="str">
        <x:v>Alert triage and escalation workflow</x:v>
      </x:c>
      <x:c r="D60" s="14" t="str">
        <x:v>Ensure alerts are triaged, escalated and recorded in a timely and consistent manner.</x:v>
      </x:c>
      <x:c r="E60" s="14" t="str">
        <x:v>Implement workflow stages from alert to event to incident and classification decision.</x:v>
      </x:c>
      <x:c r="F60" s="14" t="str">
        <x:v>DORA_FULL; DORA_SIMPLIFIED</x:v>
      </x:c>
      <x:c r="G60" s="14" t="str">
        <x:v>Art. 10; Art. 17; Art. 16</x:v>
      </x:c>
      <x:c r="H60" s="14" t="str">
        <x:v>RTS 2024/1774</x:v>
      </x:c>
      <x:c r="I60" s="14" t="str">
        <x:v>Triage procedures; tickets; escalation logs</x:v>
      </x:c>
      <x:c r="J60" s="14" t="str">
        <x:v>Continuous</x:v>
      </x:c>
      <x:c r="K60" s="14" t="str">
        <x:v>SOC / Incident Manager</x:v>
      </x:c>
      <x:c r="L60" s="14" t="str">
        <x:v>Not Assessed</x:v>
      </x:c>
      <x:c r="M60" s="14" t="str">
        <x:v>High</x:v>
      </x:c>
      <x:c r="N60" s="14" t="str">
        <x:v>https://eur-lex.europa.eu/eli/reg_del/2024/1774/oj/eng</x:v>
      </x:c>
      <x:c r="O60" s="14" t="str"/>
    </x:row>
    <x:row r="61">
      <x:c r="A61" s="14" t="str">
        <x:v>DORA-DET-008</x:v>
      </x:c>
      <x:c r="B61" s="14" t="str">
        <x:v>05 Detection &amp; Monitoring</x:v>
      </x:c>
      <x:c r="C61" s="14" t="str">
        <x:v>Critical function monitoring coverage</x:v>
      </x:c>
      <x:c r="D61" s="14" t="str">
        <x:v>Ensure monitoring covers systems and services supporting critical or important functions.</x:v>
      </x:c>
      <x:c r="E61" s="14" t="str">
        <x:v>Generate monitoring coverage gaps by critical function and asset.</x:v>
      </x:c>
      <x:c r="F61" s="14" t="str">
        <x:v>DORA_FULL; DORA_SIMPLIFIED</x:v>
      </x:c>
      <x:c r="G61" s="14" t="str">
        <x:v>Art. 8; Art. 10; Art. 16</x:v>
      </x:c>
      <x:c r="H61" s="14" t="str">
        <x:v>RTS 2024/1774</x:v>
      </x:c>
      <x:c r="I61" s="14" t="str">
        <x:v>Coverage matrix; monitoring dashboards; gap remediation</x:v>
      </x:c>
      <x:c r="J61" s="14" t="str">
        <x:v>Quarterly</x:v>
      </x:c>
      <x:c r="K61" s="14" t="str">
        <x:v>CISO / IT Operations</x:v>
      </x:c>
      <x:c r="L61" s="14" t="str">
        <x:v>Not Assessed</x:v>
      </x:c>
      <x:c r="M61" s="14" t="str">
        <x:v>High</x:v>
      </x:c>
      <x:c r="N61" s="14" t="str">
        <x:v>https://eur-lex.europa.eu/eli/reg_del/2024/1774/oj/eng</x:v>
      </x:c>
      <x:c r="O61" s="14" t="str"/>
    </x:row>
    <x:row r="62">
      <x:c r="A62" s="14" t="str">
        <x:v>DORA-INC-001</x:v>
      </x:c>
      <x:c r="B62" s="14" t="str">
        <x:v>06 Incident Management &amp; Reporting</x:v>
      </x:c>
      <x:c r="C62" s="14" t="str">
        <x:v>ICT-related incident management process</x:v>
      </x:c>
      <x:c r="D62" s="14" t="str">
        <x:v>Establish and implement a process for detecting, managing and notifying ICT-related incidents.</x:v>
      </x:c>
      <x:c r="E62" s="14" t="str">
        <x:v>Create incident module with workflow, classification, evidence, actions and reporting stages.</x:v>
      </x:c>
      <x:c r="F62" s="14" t="str">
        <x:v>DORA_FULL; DORA_SIMPLIFIED</x:v>
      </x:c>
      <x:c r="G62" s="14" t="str">
        <x:v>Art. 17</x:v>
      </x:c>
      <x:c r="H62" s="14" t="str">
        <x:v>RTS 2024/1772; RTS 2025/301; ITS 2025/302</x:v>
      </x:c>
      <x:c r="I62" s="14" t="str">
        <x:v>Incident management procedure; incident tickets; workflow evidence</x:v>
      </x:c>
      <x:c r="J62" s="14" t="str">
        <x:v>Annual review / event-driven</x:v>
      </x:c>
      <x:c r="K62" s="14" t="str">
        <x:v>Incident Manager</x:v>
      </x:c>
      <x:c r="L62" s="14" t="str">
        <x:v>Not Assessed</x:v>
      </x:c>
      <x:c r="M62" s="14" t="str">
        <x:v>High</x:v>
      </x:c>
      <x:c r="N62" s="14" t="str">
        <x:v>https://eur-lex.europa.eu/eli/reg/2022/2554/oj/eng</x:v>
      </x:c>
      <x:c r="O62" s="14" t="str"/>
    </x:row>
    <x:row r="63">
      <x:c r="A63" s="14" t="str">
        <x:v>DORA-INC-002</x:v>
      </x:c>
      <x:c r="B63" s="14" t="str">
        <x:v>06 Incident Management &amp; Reporting</x:v>
      </x:c>
      <x:c r="C63" s="14" t="str">
        <x:v>Incident roles and playbooks</x:v>
      </x:c>
      <x:c r="D63" s="14" t="str">
        <x:v>Define incident roles, escalation paths and response playbooks for material ICT scenarios.</x:v>
      </x:c>
      <x:c r="E63" s="14" t="str">
        <x:v>Maintain playbook library linked to incident types and critical systems.</x:v>
      </x:c>
      <x:c r="F63" s="14" t="str">
        <x:v>DORA_FULL; DORA_SIMPLIFIED</x:v>
      </x:c>
      <x:c r="G63" s="14" t="str">
        <x:v>Art. 17</x:v>
      </x:c>
      <x:c r="H63" s="14" t="str">
        <x:v>RTS 2024/1774; RTS 2025/301</x:v>
      </x:c>
      <x:c r="I63" s="14" t="str">
        <x:v>Playbooks; on-call rota; escalation matrix; test records</x:v>
      </x:c>
      <x:c r="J63" s="14" t="str">
        <x:v>Annual + after incident</x:v>
      </x:c>
      <x:c r="K63" s="14" t="str">
        <x:v>Incident Manager / CISO</x:v>
      </x:c>
      <x:c r="L63" s="14" t="str">
        <x:v>Not Assessed</x:v>
      </x:c>
      <x:c r="M63" s="14" t="str">
        <x:v>High</x:v>
      </x:c>
      <x:c r="N63" s="14" t="str">
        <x:v>https://eur-lex.europa.eu/eli/reg_del/2025/301/oj/eng</x:v>
      </x:c>
      <x:c r="O63" s="14" t="str"/>
    </x:row>
    <x:row r="64">
      <x:c r="A64" s="14" t="str">
        <x:v>DORA-INC-003</x:v>
      </x:c>
      <x:c r="B64" s="14" t="str">
        <x:v>06 Incident Management &amp; Reporting</x:v>
      </x:c>
      <x:c r="C64" s="14" t="str">
        <x:v>Incident detection, response and notification workflow</x:v>
      </x:c>
      <x:c r="D64" s="14" t="str">
        <x:v>Operationalise the workflow from detection to containment, recovery, classification and notification.</x:v>
      </x:c>
      <x:c r="E64" s="14" t="str">
        <x:v>Automate workflow states, timers and evidence collection for reportable incidents.</x:v>
      </x:c>
      <x:c r="F64" s="14" t="str">
        <x:v>DORA_FULL; DORA_SIMPLIFIED</x:v>
      </x:c>
      <x:c r="G64" s="14" t="str">
        <x:v>Art. 17; Art. 19</x:v>
      </x:c>
      <x:c r="H64" s="14" t="str">
        <x:v>RTS 2025/301; ITS 2025/302</x:v>
      </x:c>
      <x:c r="I64" s="14" t="str">
        <x:v>Incident tickets; timelines; notification drafts; approvals</x:v>
      </x:c>
      <x:c r="J64" s="14" t="str">
        <x:v>Event-driven</x:v>
      </x:c>
      <x:c r="K64" s="14" t="str">
        <x:v>Incident Manager</x:v>
      </x:c>
      <x:c r="L64" s="14" t="str">
        <x:v>Not Assessed</x:v>
      </x:c>
      <x:c r="M64" s="14" t="str">
        <x:v>High</x:v>
      </x:c>
      <x:c r="N64" s="14" t="str">
        <x:v>https://eur-lex.europa.eu/eli/reg_impl/2025/302/oj/eng</x:v>
      </x:c>
      <x:c r="O64" s="14" t="str"/>
    </x:row>
    <x:row r="65">
      <x:c r="A65" s="14" t="str">
        <x:v>DORA-INC-004</x:v>
      </x:c>
      <x:c r="B65" s="14" t="str">
        <x:v>06 Incident Management &amp; Reporting</x:v>
      </x:c>
      <x:c r="C65" s="14" t="str">
        <x:v>ICT-related incident classification</x:v>
      </x:c>
      <x:c r="D65" s="14" t="str">
        <x:v>Classify ICT-related incidents using DORA criteria and materiality thresholds.</x:v>
      </x:c>
      <x:c r="E65" s="14" t="str">
        <x:v>Add classification questionnaire and calculated 'major incident' decision output.</x:v>
      </x:c>
      <x:c r="F65" s="14" t="str">
        <x:v>DORA_FULL; DORA_SIMPLIFIED</x:v>
      </x:c>
      <x:c r="G65" s="14" t="str">
        <x:v>Art. 18</x:v>
      </x:c>
      <x:c r="H65" s="14" t="str">
        <x:v>RTS 2024/1772</x:v>
      </x:c>
      <x:c r="I65" s="14" t="str">
        <x:v>Classification record; threshold calculations; impact data</x:v>
      </x:c>
      <x:c r="J65" s="14" t="str">
        <x:v>Per incident</x:v>
      </x:c>
      <x:c r="K65" s="14" t="str">
        <x:v>Incident Manager / Risk Manager</x:v>
      </x:c>
      <x:c r="L65" s="14" t="str">
        <x:v>Not Assessed</x:v>
      </x:c>
      <x:c r="M65" s="14" t="str">
        <x:v>High</x:v>
      </x:c>
      <x:c r="N65" s="14" t="str">
        <x:v>https://eur-lex.europa.eu/eli/reg_del/2024/1772/oj/eng</x:v>
      </x:c>
      <x:c r="O65" s="14" t="str"/>
    </x:row>
    <x:row r="66">
      <x:c r="A66" s="14" t="str">
        <x:v>DORA-INC-005</x:v>
      </x:c>
      <x:c r="B66" s="14" t="str">
        <x:v>06 Incident Management &amp; Reporting</x:v>
      </x:c>
      <x:c r="C66" s="14" t="str">
        <x:v>Significant cyber threat assessment</x:v>
      </x:c>
      <x:c r="D66" s="14" t="str">
        <x:v>Assess whether cyber threats are significant and suitable for voluntary notification.</x:v>
      </x:c>
      <x:c r="E66" s="14" t="str">
        <x:v>Add significant cyber threat record, relevance assessment and voluntary notification workflow.</x:v>
      </x:c>
      <x:c r="F66" s="14" t="str">
        <x:v>DORA_FULL; DORA_SIMPLIFIED</x:v>
      </x:c>
      <x:c r="G66" s="14" t="str">
        <x:v>Art. 19(2)</x:v>
      </x:c>
      <x:c r="H66" s="14" t="str">
        <x:v>RTS 2024/1772; RTS 2025/301; ITS 2025/302</x:v>
      </x:c>
      <x:c r="I66" s="14" t="str">
        <x:v>Threat assessment; voluntary notification template; approvals</x:v>
      </x:c>
      <x:c r="J66" s="14" t="str">
        <x:v>Event-driven</x:v>
      </x:c>
      <x:c r="K66" s="14" t="str">
        <x:v>CISO / Threat Intelligence</x:v>
      </x:c>
      <x:c r="L66" s="14" t="str">
        <x:v>Not Assessed</x:v>
      </x:c>
      <x:c r="M66" s="14" t="str">
        <x:v>High</x:v>
      </x:c>
      <x:c r="N66" s="14" t="str">
        <x:v>https://eur-lex.europa.eu/eli/reg_del/2025/301/oj/eng</x:v>
      </x:c>
      <x:c r="O66" s="14" t="str"/>
    </x:row>
    <x:row r="67">
      <x:c r="A67" s="14" t="str">
        <x:v>DORA-INC-006</x:v>
      </x:c>
      <x:c r="B67" s="14" t="str">
        <x:v>06 Incident Management &amp; Reporting</x:v>
      </x:c>
      <x:c r="C67" s="14" t="str">
        <x:v>Major ICT incident reporting workflow</x:v>
      </x:c>
      <x:c r="D67" s="14" t="str">
        <x:v>Report major ICT-related incidents to the competent authority using DORA reporting stages and templates.</x:v>
      </x:c>
      <x:c r="E67" s="14" t="str">
        <x:v>Create timer-based reporting workflow with initial, intermediate and final report states.</x:v>
      </x:c>
      <x:c r="F67" s="14" t="str">
        <x:v>DORA_FULL; DORA_SIMPLIFIED</x:v>
      </x:c>
      <x:c r="G67" s="14" t="str">
        <x:v>Art. 19; Art. 20</x:v>
      </x:c>
      <x:c r="H67" s="14" t="str">
        <x:v>RTS 2025/301; ITS 2025/302</x:v>
      </x:c>
      <x:c r="I67" s="14" t="str">
        <x:v>Initial notification; intermediate report; final report; submission proof</x:v>
      </x:c>
      <x:c r="J67" s="14" t="str">
        <x:v>Event-driven</x:v>
      </x:c>
      <x:c r="K67" s="14" t="str">
        <x:v>Compliance / Incident Manager</x:v>
      </x:c>
      <x:c r="L67" s="14" t="str">
        <x:v>Not Assessed</x:v>
      </x:c>
      <x:c r="M67" s="14" t="str">
        <x:v>High</x:v>
      </x:c>
      <x:c r="N67" s="14" t="str">
        <x:v>https://eur-lex.europa.eu/eli/reg_del/2025/301/oj/eng</x:v>
      </x:c>
      <x:c r="O67" s="14" t="str"/>
    </x:row>
    <x:row r="68">
      <x:c r="A68" s="14" t="str">
        <x:v>DORA-INC-007</x:v>
      </x:c>
      <x:c r="B68" s="14" t="str">
        <x:v>06 Incident Management &amp; Reporting</x:v>
      </x:c>
      <x:c r="C68" s="14" t="str">
        <x:v>Reporting deadlines tracking</x:v>
      </x:c>
      <x:c r="D68" s="14" t="str">
        <x:v>Track DORA reporting deadlines for initial notification, intermediate report and final report.</x:v>
      </x:c>
      <x:c r="E68" s="14" t="str">
        <x:v>Implement countdown timers, SLA breaches and escalation for reportable incidents.</x:v>
      </x:c>
      <x:c r="F68" s="14" t="str">
        <x:v>DORA_FULL; DORA_SIMPLIFIED</x:v>
      </x:c>
      <x:c r="G68" s="14" t="str">
        <x:v>Art. 19; Art. 20</x:v>
      </x:c>
      <x:c r="H68" s="14" t="str">
        <x:v>RTS 2025/301</x:v>
      </x:c>
      <x:c r="I68" s="14" t="str">
        <x:v>Deadline logs; escalation records; submitted reports</x:v>
      </x:c>
      <x:c r="J68" s="14" t="str">
        <x:v>Event-driven</x:v>
      </x:c>
      <x:c r="K68" s="14" t="str">
        <x:v>Incident Manager / Compliance</x:v>
      </x:c>
      <x:c r="L68" s="14" t="str">
        <x:v>Not Assessed</x:v>
      </x:c>
      <x:c r="M68" s="14" t="str">
        <x:v>High</x:v>
      </x:c>
      <x:c r="N68" s="14" t="str">
        <x:v>https://eur-lex.europa.eu/eli/reg_del/2025/301/oj/eng</x:v>
      </x:c>
      <x:c r="O68" s="14" t="str"/>
    </x:row>
    <x:row r="69">
      <x:c r="A69" s="14" t="str">
        <x:v>DORA-INC-008</x:v>
      </x:c>
      <x:c r="B69" s="14" t="str">
        <x:v>06 Incident Management &amp; Reporting</x:v>
      </x:c>
      <x:c r="C69" s="14" t="str">
        <x:v>Standard incident reporting templates</x:v>
      </x:c>
      <x:c r="D69" s="14" t="str">
        <x:v>Use standard forms, templates and procedures for reporting major incidents and significant cyber threats.</x:v>
      </x:c>
      <x:c r="E69" s="14" t="str">
        <x:v>Add exportable templates aligned to EU reporting formats and national authority channel.</x:v>
      </x:c>
      <x:c r="F69" s="14" t="str">
        <x:v>DORA_FULL; DORA_SIMPLIFIED</x:v>
      </x:c>
      <x:c r="G69" s="14" t="str">
        <x:v>Art. 20</x:v>
      </x:c>
      <x:c r="H69" s="14" t="str">
        <x:v>ITS 2025/302</x:v>
      </x:c>
      <x:c r="I69" s="14" t="str">
        <x:v>Completed templates; validation evidence; submission receipts</x:v>
      </x:c>
      <x:c r="J69" s="14" t="str">
        <x:v>Event-driven</x:v>
      </x:c>
      <x:c r="K69" s="14" t="str">
        <x:v>Compliance</x:v>
      </x:c>
      <x:c r="L69" s="14" t="str">
        <x:v>Not Assessed</x:v>
      </x:c>
      <x:c r="M69" s="14" t="str">
        <x:v>High</x:v>
      </x:c>
      <x:c r="N69" s="14" t="str">
        <x:v>https://eur-lex.europa.eu/eli/reg_impl/2025/302/oj/eng</x:v>
      </x:c>
      <x:c r="O69" s="14" t="str"/>
    </x:row>
    <x:row r="70">
      <x:c r="A70" s="14" t="str">
        <x:v>DORA-INC-009</x:v>
      </x:c>
      <x:c r="B70" s="14" t="str">
        <x:v>06 Incident Management &amp; Reporting</x:v>
      </x:c>
      <x:c r="C70" s="14" t="str">
        <x:v>ICT incident register</x:v>
      </x:c>
      <x:c r="D70" s="14" t="str">
        <x:v>Maintain a register of ICT events and incidents, including classification and impact.</x:v>
      </x:c>
      <x:c r="E70" s="14" t="str">
        <x:v>Store all incidents, classification outputs, impacts, costs/losses and follow-up actions.</x:v>
      </x:c>
      <x:c r="F70" s="14" t="str">
        <x:v>DORA_FULL; DORA_SIMPLIFIED</x:v>
      </x:c>
      <x:c r="G70" s="14" t="str">
        <x:v>Art. 17; Art. 18</x:v>
      </x:c>
      <x:c r="H70" s="14" t="str">
        <x:v>RTS 2024/1772</x:v>
      </x:c>
      <x:c r="I70" s="14" t="str">
        <x:v>Incident register; incident reports; impact assessments</x:v>
      </x:c>
      <x:c r="J70" s="14" t="str">
        <x:v>Continuous</x:v>
      </x:c>
      <x:c r="K70" s="14" t="str">
        <x:v>Incident Manager</x:v>
      </x:c>
      <x:c r="L70" s="14" t="str">
        <x:v>Not Assessed</x:v>
      </x:c>
      <x:c r="M70" s="14" t="str">
        <x:v>High</x:v>
      </x:c>
      <x:c r="N70" s="14" t="str">
        <x:v>https://eur-lex.europa.eu/eli/reg_del/2024/1772/oj/eng</x:v>
      </x:c>
      <x:c r="O70" s="14" t="str"/>
    </x:row>
    <x:row r="71">
      <x:c r="A71" s="14" t="str">
        <x:v>DORA-INC-010</x:v>
      </x:c>
      <x:c r="B71" s="14" t="str">
        <x:v>06 Incident Management &amp; Reporting</x:v>
      </x:c>
      <x:c r="C71" s="14" t="str">
        <x:v>Client and user communication for incidents</x:v>
      </x:c>
      <x:c r="D71" s="14" t="str">
        <x:v>Communicate with clients/users when an incident affects financial interests or service delivery as required.</x:v>
      </x:c>
      <x:c r="E71" s="14" t="str">
        <x:v>Add customer communication templates, approval and evidence workflow.</x:v>
      </x:c>
      <x:c r="F71" s="14" t="str">
        <x:v>DORA_FULL; DORA_SIMPLIFIED</x:v>
      </x:c>
      <x:c r="G71" s="14" t="str">
        <x:v>Art. 19</x:v>
      </x:c>
      <x:c r="H71" s="14" t="str">
        <x:v>RTS 2025/301</x:v>
      </x:c>
      <x:c r="I71" s="14" t="str">
        <x:v>Client notifications; communication approvals; logs</x:v>
      </x:c>
      <x:c r="J71" s="14" t="str">
        <x:v>Event-driven</x:v>
      </x:c>
      <x:c r="K71" s="14" t="str">
        <x:v>Communications / Compliance</x:v>
      </x:c>
      <x:c r="L71" s="14" t="str">
        <x:v>Not Assessed</x:v>
      </x:c>
      <x:c r="M71" s="14" t="str">
        <x:v>High</x:v>
      </x:c>
      <x:c r="N71" s="14" t="str">
        <x:v>https://eur-lex.europa.eu/eli/reg/2022/2554/oj/eng</x:v>
      </x:c>
      <x:c r="O71" s="14" t="str"/>
    </x:row>
    <x:row r="72">
      <x:c r="A72" s="14" t="str">
        <x:v>DORA-INC-011</x:v>
      </x:c>
      <x:c r="B72" s="14" t="str">
        <x:v>06 Incident Management &amp; Reporting</x:v>
      </x:c>
      <x:c r="C72" s="14" t="str">
        <x:v>Competent authority communication record</x:v>
      </x:c>
      <x:c r="D72" s="14" t="str">
        <x:v>Maintain a complete audit trail of communications with competent authorities on ICT incidents.</x:v>
      </x:c>
      <x:c r="E72" s="14" t="str">
        <x:v>Log regulator contacts, submissions, acknowledgements and supervisory feedback.</x:v>
      </x:c>
      <x:c r="F72" s="14" t="str">
        <x:v>DORA_FULL; DORA_SIMPLIFIED</x:v>
      </x:c>
      <x:c r="G72" s="14" t="str">
        <x:v>Art. 19; Art. 22</x:v>
      </x:c>
      <x:c r="H72" s="14" t="str">
        <x:v>ITS 2025/302</x:v>
      </x:c>
      <x:c r="I72" s="14" t="str">
        <x:v>Submission receipts; authority correspondence; feedback records</x:v>
      </x:c>
      <x:c r="J72" s="14" t="str">
        <x:v>Event-driven</x:v>
      </x:c>
      <x:c r="K72" s="14" t="str">
        <x:v>Compliance</x:v>
      </x:c>
      <x:c r="L72" s="14" t="str">
        <x:v>Not Assessed</x:v>
      </x:c>
      <x:c r="M72" s="14" t="str">
        <x:v>High</x:v>
      </x:c>
      <x:c r="N72" s="14" t="str">
        <x:v>https://eur-lex.europa.eu/eli/reg_impl/2025/302/oj/eng</x:v>
      </x:c>
      <x:c r="O72" s="14" t="str"/>
    </x:row>
    <x:row r="73">
      <x:c r="A73" s="14" t="str">
        <x:v>DORA-INC-012</x:v>
      </x:c>
      <x:c r="B73" s="14" t="str">
        <x:v>06 Incident Management &amp; Reporting</x:v>
      </x:c>
      <x:c r="C73" s="14" t="str">
        <x:v>Evidence preservation and forensic readiness</x:v>
      </x:c>
      <x:c r="D73" s="14" t="str">
        <x:v>Preserve evidence required to analyse, report and remediate ICT incidents.</x:v>
      </x:c>
      <x:c r="E73" s="14" t="str">
        <x:v>Add evidence chain-of-custody, forensic evidence checklist and retention fields.</x:v>
      </x:c>
      <x:c r="F73" s="14" t="str">
        <x:v>DORA_FULL; DORA_SIMPLIFIED</x:v>
      </x:c>
      <x:c r="G73" s="14" t="str">
        <x:v>Art. 17; Art. 18</x:v>
      </x:c>
      <x:c r="H73" s="14" t="str">
        <x:v>RTS 2024/1772; RTS 2024/1774</x:v>
      </x:c>
      <x:c r="I73" s="14" t="str">
        <x:v>Forensic logs; evidence inventory; chain-of-custody</x:v>
      </x:c>
      <x:c r="J73" s="14" t="str">
        <x:v>Event-driven</x:v>
      </x:c>
      <x:c r="K73" s="14" t="str">
        <x:v>Incident Manager / SOC</x:v>
      </x:c>
      <x:c r="L73" s="14" t="str">
        <x:v>Not Assessed</x:v>
      </x:c>
      <x:c r="M73" s="14" t="str">
        <x:v>High</x:v>
      </x:c>
      <x:c r="N73" s="14" t="str">
        <x:v>https://eur-lex.europa.eu/eli/reg_del/2024/1772/oj/eng</x:v>
      </x:c>
      <x:c r="O73" s="14" t="str"/>
    </x:row>
    <x:row r="74">
      <x:c r="A74" s="14" t="str">
        <x:v>DORA-INC-013</x:v>
      </x:c>
      <x:c r="B74" s="14" t="str">
        <x:v>06 Incident Management &amp; Reporting</x:v>
      </x:c>
      <x:c r="C74" s="14" t="str">
        <x:v>Post-incident review and lessons learned</x:v>
      </x:c>
      <x:c r="D74" s="14" t="str">
        <x:v>Analyse incidents, identify root causes and implement lessons learned.</x:v>
      </x:c>
      <x:c r="E74" s="14" t="str">
        <x:v>Trigger post-incident review, control updates and remediation tasks after material incidents.</x:v>
      </x:c>
      <x:c r="F74" s="14" t="str">
        <x:v>DORA_FULL; DORA_SIMPLIFIED</x:v>
      </x:c>
      <x:c r="G74" s="14" t="str">
        <x:v>Art. 13; Art. 17</x:v>
      </x:c>
      <x:c r="H74" s="14" t="str">
        <x:v>RTS 2024/1774; RTS 2025/301</x:v>
      </x:c>
      <x:c r="I74" s="14" t="str">
        <x:v>RCA report; lessons learned; remediation evidence</x:v>
      </x:c>
      <x:c r="J74" s="14" t="str">
        <x:v>After major/material incident</x:v>
      </x:c>
      <x:c r="K74" s="14" t="str">
        <x:v>Incident Manager / CISO</x:v>
      </x:c>
      <x:c r="L74" s="14" t="str">
        <x:v>Not Assessed</x:v>
      </x:c>
      <x:c r="M74" s="14" t="str">
        <x:v>High</x:v>
      </x:c>
      <x:c r="N74" s="14" t="str">
        <x:v>https://eur-lex.europa.eu/eli/reg_del/2024/1774/oj/eng</x:v>
      </x:c>
      <x:c r="O74" s="14" t="str"/>
    </x:row>
    <x:row r="75">
      <x:c r="A75" s="14" t="str">
        <x:v>DORA-INC-014</x:v>
      </x:c>
      <x:c r="B75" s="14" t="str">
        <x:v>06 Incident Management &amp; Reporting</x:v>
      </x:c>
      <x:c r="C75" s="14" t="str">
        <x:v>Aggregated annual costs and losses</x:v>
      </x:c>
      <x:c r="D75" s="14" t="str">
        <x:v>Estimate and record aggregated annual costs and losses caused by major ICT-related incidents.</x:v>
      </x:c>
      <x:c r="E75" s="14" t="str">
        <x:v>Add incident cost/loss fields and annual aggregation report.</x:v>
      </x:c>
      <x:c r="F75" s="14" t="str">
        <x:v>DORA_FULL; DORA_SIMPLIFIED</x:v>
      </x:c>
      <x:c r="G75" s="14" t="str">
        <x:v>Art. 11; Art. 13</x:v>
      </x:c>
      <x:c r="H75" s="14" t="str">
        <x:v>Joint GLs on aggregated annual costs and losses</x:v>
      </x:c>
      <x:c r="I75" s="14" t="str">
        <x:v>Cost/loss register; annual loss report; finance reconciliation</x:v>
      </x:c>
      <x:c r="J75" s="14" t="str">
        <x:v>Annual</x:v>
      </x:c>
      <x:c r="K75" s="14" t="str">
        <x:v>Risk Manager / Finance</x:v>
      </x:c>
      <x:c r="L75" s="14" t="str">
        <x:v>Not Assessed</x:v>
      </x:c>
      <x:c r="M75" s="14" t="str">
        <x:v>High</x:v>
      </x:c>
      <x:c r="N75" s="14" t="str">
        <x:v>https://www.eiopa.europa.eu/digital-operational-resilience-act-dora_en</x:v>
      </x:c>
      <x:c r="O75" s="14" t="str"/>
    </x:row>
    <x:row r="76">
      <x:c r="A76" s="14" t="str">
        <x:v>DORA-INC-015</x:v>
      </x:c>
      <x:c r="B76" s="14" t="str">
        <x:v>06 Incident Management &amp; Reporting</x:v>
      </x:c>
      <x:c r="C76" s="14" t="str">
        <x:v>Operational or security payment-related incident process</x:v>
      </x:c>
      <x:c r="D76" s="14" t="str">
        <x:v>Apply payment-related incident obligations where the entity is a credit institution, payment institution, account information service provider or electronic money institution.</x:v>
      </x:c>
      <x:c r="E76" s="14" t="str">
        <x:v>Enable payment-related incident subtype and reporting channel for applicable entity types.</x:v>
      </x:c>
      <x:c r="F76" s="14" t="str">
        <x:v>PAYMENT_RELATED_ENTITY; CONDITIONAL</x:v>
      </x:c>
      <x:c r="G76" s="14" t="str">
        <x:v>Art. 23</x:v>
      </x:c>
      <x:c r="H76" s="14" t="str">
        <x:v>RTS 2024/1772; RTS 2025/301; ITS 2025/302</x:v>
      </x:c>
      <x:c r="I76" s="14" t="str">
        <x:v>Payment incident records; reports; payment service impact evidence</x:v>
      </x:c>
      <x:c r="J76" s="14" t="str">
        <x:v>Event-driven</x:v>
      </x:c>
      <x:c r="K76" s="14" t="str">
        <x:v>Payments Operations / Compliance</x:v>
      </x:c>
      <x:c r="L76" s="14" t="str">
        <x:v>Not Assessed</x:v>
      </x:c>
      <x:c r="M76" s="14" t="str">
        <x:v>High</x:v>
      </x:c>
      <x:c r="N76" s="14" t="str">
        <x:v>https://eur-lex.europa.eu/eli/reg/2022/2554/oj/eng</x:v>
      </x:c>
      <x:c r="O76" s="14" t="str"/>
    </x:row>
    <x:row r="77">
      <x:c r="A77" s="14" t="str">
        <x:v>DORA-BCM-001</x:v>
      </x:c>
      <x:c r="B77" s="14" t="str">
        <x:v>07 Business Continuity &amp; Recovery</x:v>
      </x:c>
      <x:c r="C77" s="14" t="str">
        <x:v>ICT business continuity policy</x:v>
      </x:c>
      <x:c r="D77" s="14" t="str">
        <x:v>Maintain an ICT business continuity policy integrated with the overall business continuity framework.</x:v>
      </x:c>
      <x:c r="E77" s="14" t="str">
        <x:v>Create ICT BCP policy record with scope, owners, review and approval evidence.</x:v>
      </x:c>
      <x:c r="F77" s="14" t="str">
        <x:v>DORA_FULL; DORA_SIMPLIFIED</x:v>
      </x:c>
      <x:c r="G77" s="14" t="str">
        <x:v>Art. 11; Art. 16</x:v>
      </x:c>
      <x:c r="H77" s="14" t="str">
        <x:v>RTS 2024/1774</x:v>
      </x:c>
      <x:c r="I77" s="14" t="str">
        <x:v>ICT BCP policy; BCM framework; approvals</x:v>
      </x:c>
      <x:c r="J77" s="14" t="str">
        <x:v>Annual</x:v>
      </x:c>
      <x:c r="K77" s="14" t="str">
        <x:v>BCM Manager</x:v>
      </x:c>
      <x:c r="L77" s="14" t="str">
        <x:v>Not Assessed</x:v>
      </x:c>
      <x:c r="M77" s="14" t="str">
        <x:v>High</x:v>
      </x:c>
      <x:c r="N77" s="14" t="str">
        <x:v>https://eur-lex.europa.eu/eli/reg_del/2024/1774/oj/eng</x:v>
      </x:c>
      <x:c r="O77" s="14" t="str"/>
    </x:row>
    <x:row r="78">
      <x:c r="A78" s="14" t="str">
        <x:v>DORA-BCM-002</x:v>
      </x:c>
      <x:c r="B78" s="14" t="str">
        <x:v>07 Business Continuity &amp; Recovery</x:v>
      </x:c>
      <x:c r="C78" s="14" t="str">
        <x:v>Business impact analysis for ICT disruption</x:v>
      </x:c>
      <x:c r="D78" s="14" t="str">
        <x:v>Perform BIA to determine impacts, dependencies, recovery priorities and critical services.</x:v>
      </x:c>
      <x:c r="E78" s="14" t="str">
        <x:v>Link BIA records to critical functions, assets, RTO/RPO, suppliers and plans.</x:v>
      </x:c>
      <x:c r="F78" s="14" t="str">
        <x:v>DORA_FULL; DORA_SIMPLIFIED</x:v>
      </x:c>
      <x:c r="G78" s="14" t="str">
        <x:v>Art. 11; Art. 12; Art. 16</x:v>
      </x:c>
      <x:c r="H78" s="14" t="str">
        <x:v>RTS 2024/1774</x:v>
      </x:c>
      <x:c r="I78" s="14" t="str">
        <x:v>BIA; impact tolerances; dependency maps</x:v>
      </x:c>
      <x:c r="J78" s="14" t="str">
        <x:v>Annual + change</x:v>
      </x:c>
      <x:c r="K78" s="14" t="str">
        <x:v>BCM Manager / Business Owners</x:v>
      </x:c>
      <x:c r="L78" s="14" t="str">
        <x:v>Not Assessed</x:v>
      </x:c>
      <x:c r="M78" s="14" t="str">
        <x:v>High</x:v>
      </x:c>
      <x:c r="N78" s="14" t="str">
        <x:v>https://eur-lex.europa.eu/eli/reg_del/2024/1774/oj/eng</x:v>
      </x:c>
      <x:c r="O78" s="14" t="str"/>
    </x:row>
    <x:row r="79">
      <x:c r="A79" s="14" t="str">
        <x:v>DORA-BCM-003</x:v>
      </x:c>
      <x:c r="B79" s="14" t="str">
        <x:v>07 Business Continuity &amp; Recovery</x:v>
      </x:c>
      <x:c r="C79" s="14" t="str">
        <x:v>ICT response and recovery plans</x:v>
      </x:c>
      <x:c r="D79" s="14" t="str">
        <x:v>Develop and maintain response and recovery plans for ICT disruptions.</x:v>
      </x:c>
      <x:c r="E79" s="14" t="str">
        <x:v>Store ICT DR and recovery plans linked to assets, systems and critical functions.</x:v>
      </x:c>
      <x:c r="F79" s="14" t="str">
        <x:v>DORA_FULL; DORA_SIMPLIFIED</x:v>
      </x:c>
      <x:c r="G79" s="14" t="str">
        <x:v>Art. 11; Art. 12; Art. 16</x:v>
      </x:c>
      <x:c r="H79" s="14" t="str">
        <x:v>RTS 2024/1774</x:v>
      </x:c>
      <x:c r="I79" s="14" t="str">
        <x:v>DR plans; response plans; runbooks</x:v>
      </x:c>
      <x:c r="J79" s="14" t="str">
        <x:v>Annual + change</x:v>
      </x:c>
      <x:c r="K79" s="14" t="str">
        <x:v>IT Operations / BCM</x:v>
      </x:c>
      <x:c r="L79" s="14" t="str">
        <x:v>Not Assessed</x:v>
      </x:c>
      <x:c r="M79" s="14" t="str">
        <x:v>High</x:v>
      </x:c>
      <x:c r="N79" s="14" t="str">
        <x:v>https://eur-lex.europa.eu/eli/reg_del/2024/1774/oj/eng</x:v>
      </x:c>
      <x:c r="O79" s="14" t="str"/>
    </x:row>
    <x:row r="80">
      <x:c r="A80" s="14" t="str">
        <x:v>DORA-BCM-004</x:v>
      </x:c>
      <x:c r="B80" s="14" t="str">
        <x:v>07 Business Continuity &amp; Recovery</x:v>
      </x:c>
      <x:c r="C80" s="14" t="str">
        <x:v>Crisis management process</x:v>
      </x:c>
      <x:c r="D80" s="14" t="str">
        <x:v>Define crisis management escalation, decision-making and coordination during major ICT disruption.</x:v>
      </x:c>
      <x:c r="E80" s="14" t="str">
        <x:v>Add crisis workflow, war-room log and executive decision evidence.</x:v>
      </x:c>
      <x:c r="F80" s="14" t="str">
        <x:v>DORA_FULL</x:v>
      </x:c>
      <x:c r="G80" s="14" t="str">
        <x:v>Art. 11; Art. 14</x:v>
      </x:c>
      <x:c r="H80" s="14" t="str">
        <x:v>RTS 2024/1774</x:v>
      </x:c>
      <x:c r="I80" s="14" t="str">
        <x:v>Crisis plan; activation records; decision logs</x:v>
      </x:c>
      <x:c r="J80" s="14" t="str">
        <x:v>Annual test + event-driven</x:v>
      </x:c>
      <x:c r="K80" s="14" t="str">
        <x:v>Crisis Manager / Executive Management</x:v>
      </x:c>
      <x:c r="L80" s="14" t="str">
        <x:v>Not Assessed</x:v>
      </x:c>
      <x:c r="M80" s="14" t="str">
        <x:v>High</x:v>
      </x:c>
      <x:c r="N80" s="14" t="str">
        <x:v>https://eur-lex.europa.eu/eli/reg_del/2024/1774/oj/eng</x:v>
      </x:c>
      <x:c r="O80" s="14" t="str"/>
    </x:row>
    <x:row r="81">
      <x:c r="A81" s="14" t="str">
        <x:v>DORA-BCM-005</x:v>
      </x:c>
      <x:c r="B81" s="14" t="str">
        <x:v>07 Business Continuity &amp; Recovery</x:v>
      </x:c>
      <x:c r="C81" s="14" t="str">
        <x:v>Backup policy</x:v>
      </x:c>
      <x:c r="D81" s="14" t="str">
        <x:v>Maintain backup policies and procedures for ICT systems and data.</x:v>
      </x:c>
      <x:c r="E81" s="14" t="str">
        <x:v>Track backup scope, frequency, retention, locations, ownership and exceptions.</x:v>
      </x:c>
      <x:c r="F81" s="14" t="str">
        <x:v>DORA_FULL; DORA_SIMPLIFIED</x:v>
      </x:c>
      <x:c r="G81" s="14" t="str">
        <x:v>Art. 12; Art. 16</x:v>
      </x:c>
      <x:c r="H81" s="14" t="str">
        <x:v>RTS 2024/1774</x:v>
      </x:c>
      <x:c r="I81" s="14" t="str">
        <x:v>Backup policy; backup schedules; retention settings</x:v>
      </x:c>
      <x:c r="J81" s="14" t="str">
        <x:v>Annual / continuous</x:v>
      </x:c>
      <x:c r="K81" s="14" t="str">
        <x:v>IT Operations</x:v>
      </x:c>
      <x:c r="L81" s="14" t="str">
        <x:v>Not Assessed</x:v>
      </x:c>
      <x:c r="M81" s="14" t="str">
        <x:v>High</x:v>
      </x:c>
      <x:c r="N81" s="14" t="str">
        <x:v>https://eur-lex.europa.eu/eli/reg_del/2024/1774/oj/eng</x:v>
      </x:c>
      <x:c r="O81" s="14" t="str"/>
    </x:row>
    <x:row r="82">
      <x:c r="A82" s="14" t="str">
        <x:v>DORA-BCM-006</x:v>
      </x:c>
      <x:c r="B82" s="14" t="str">
        <x:v>07 Business Continuity &amp; Recovery</x:v>
      </x:c>
      <x:c r="C82" s="14" t="str">
        <x:v>Backup restoration testing</x:v>
      </x:c>
      <x:c r="D82" s="14" t="str">
        <x:v>Test restoration of backups and recovery procedures.</x:v>
      </x:c>
      <x:c r="E82" s="14" t="str">
        <x:v>Schedule and evidence restoration tests with outcome, issues and remediation.</x:v>
      </x:c>
      <x:c r="F82" s="14" t="str">
        <x:v>DORA_FULL; DORA_SIMPLIFIED</x:v>
      </x:c>
      <x:c r="G82" s="14" t="str">
        <x:v>Art. 12; Art. 16</x:v>
      </x:c>
      <x:c r="H82" s="14" t="str">
        <x:v>RTS 2024/1774</x:v>
      </x:c>
      <x:c r="I82" s="14" t="str">
        <x:v>Restoration test reports; backup logs; issue remediation</x:v>
      </x:c>
      <x:c r="J82" s="14" t="str">
        <x:v>Quarterly / risk-based</x:v>
      </x:c>
      <x:c r="K82" s="14" t="str">
        <x:v>IT Operations</x:v>
      </x:c>
      <x:c r="L82" s="14" t="str">
        <x:v>Not Assessed</x:v>
      </x:c>
      <x:c r="M82" s="14" t="str">
        <x:v>High</x:v>
      </x:c>
      <x:c r="N82" s="14" t="str">
        <x:v>https://eur-lex.europa.eu/eli/reg_del/2024/1774/oj/eng</x:v>
      </x:c>
      <x:c r="O82" s="14" t="str"/>
    </x:row>
    <x:row r="83">
      <x:c r="A83" s="14" t="str">
        <x:v>DORA-BCM-007</x:v>
      </x:c>
      <x:c r="B83" s="14" t="str">
        <x:v>07 Business Continuity &amp; Recovery</x:v>
      </x:c>
      <x:c r="C83" s="14" t="str">
        <x:v>Separated and resilient backup arrangements</x:v>
      </x:c>
      <x:c r="D83" s="14" t="str">
        <x:v>Ensure backup arrangements reduce loss, corruption, unavailability and ransomware impact.</x:v>
      </x:c>
      <x:c r="E83" s="14" t="str">
        <x:v>Track backup resilience features such as separation, encryption and immutability where applicable.</x:v>
      </x:c>
      <x:c r="F83" s="14" t="str">
        <x:v>DORA_FULL</x:v>
      </x:c>
      <x:c r="G83" s="14" t="str">
        <x:v>Art. 12</x:v>
      </x:c>
      <x:c r="H83" s="14" t="str">
        <x:v>RTS 2024/1774</x:v>
      </x:c>
      <x:c r="I83" s="14" t="str">
        <x:v>Backup architecture; immutable backup evidence; recovery validation</x:v>
      </x:c>
      <x:c r="J83" s="14" t="str">
        <x:v>Annual + change</x:v>
      </x:c>
      <x:c r="K83" s="14" t="str">
        <x:v>IT Operations / CISO</x:v>
      </x:c>
      <x:c r="L83" s="14" t="str">
        <x:v>Not Assessed</x:v>
      </x:c>
      <x:c r="M83" s="14" t="str">
        <x:v>High</x:v>
      </x:c>
      <x:c r="N83" s="14" t="str">
        <x:v>https://eur-lex.europa.eu/eli/reg_del/2024/1774/oj/eng</x:v>
      </x:c>
      <x:c r="O83" s="14" t="str"/>
    </x:row>
    <x:row r="84">
      <x:c r="A84" s="14" t="str">
        <x:v>DORA-BCM-008</x:v>
      </x:c>
      <x:c r="B84" s="14" t="str">
        <x:v>07 Business Continuity &amp; Recovery</x:v>
      </x:c>
      <x:c r="C84" s="14" t="str">
        <x:v>Recovery time and recovery point objectives</x:v>
      </x:c>
      <x:c r="D84" s="14" t="str">
        <x:v>Define and approve RTO/RPO for systems supporting critical or important functions.</x:v>
      </x:c>
      <x:c r="E84" s="14" t="str">
        <x:v>Capture RTO/RPO per service/function and compare against test results.</x:v>
      </x:c>
      <x:c r="F84" s="14" t="str">
        <x:v>DORA_FULL; DORA_SIMPLIFIED</x:v>
      </x:c>
      <x:c r="G84" s="14" t="str">
        <x:v>Art. 11; Art. 12; Art. 16</x:v>
      </x:c>
      <x:c r="H84" s="14" t="str">
        <x:v>RTS 2024/1774</x:v>
      </x:c>
      <x:c r="I84" s="14" t="str">
        <x:v>RTO/RPO register; BIA; recovery test results</x:v>
      </x:c>
      <x:c r="J84" s="14" t="str">
        <x:v>Annual + change</x:v>
      </x:c>
      <x:c r="K84" s="14" t="str">
        <x:v>BCM Manager / Business Owners</x:v>
      </x:c>
      <x:c r="L84" s="14" t="str">
        <x:v>Not Assessed</x:v>
      </x:c>
      <x:c r="M84" s="14" t="str">
        <x:v>High</x:v>
      </x:c>
      <x:c r="N84" s="14" t="str">
        <x:v>https://eur-lex.europa.eu/eli/reg_del/2024/1774/oj/eng</x:v>
      </x:c>
      <x:c r="O84" s="14" t="str"/>
    </x:row>
    <x:row r="85">
      <x:c r="A85" s="14" t="str">
        <x:v>DORA-BCM-009</x:v>
      </x:c>
      <x:c r="B85" s="14" t="str">
        <x:v>07 Business Continuity &amp; Recovery</x:v>
      </x:c>
      <x:c r="C85" s="14" t="str">
        <x:v>Disaster recovery testing</x:v>
      </x:c>
      <x:c r="D85" s="14" t="str">
        <x:v>Test ICT response, recovery and restoration plans.</x:v>
      </x:c>
      <x:c r="E85" s="14" t="str">
        <x:v>Schedule DR tests, record outcomes, map gaps to corrective actions.</x:v>
      </x:c>
      <x:c r="F85" s="14" t="str">
        <x:v>DORA_FULL; DORA_SIMPLIFIED</x:v>
      </x:c>
      <x:c r="G85" s="14" t="str">
        <x:v>Art. 11; Art. 12; Art. 16</x:v>
      </x:c>
      <x:c r="H85" s="14" t="str">
        <x:v>RTS 2024/1774</x:v>
      </x:c>
      <x:c r="I85" s="14" t="str">
        <x:v>DR test reports; exercise logs; remediation records</x:v>
      </x:c>
      <x:c r="J85" s="14" t="str">
        <x:v>Annual / risk-based</x:v>
      </x:c>
      <x:c r="K85" s="14" t="str">
        <x:v>BCM Manager / IT Operations</x:v>
      </x:c>
      <x:c r="L85" s="14" t="str">
        <x:v>Not Assessed</x:v>
      </x:c>
      <x:c r="M85" s="14" t="str">
        <x:v>High</x:v>
      </x:c>
      <x:c r="N85" s="14" t="str">
        <x:v>https://eur-lex.europa.eu/eli/reg_del/2024/1774/oj/eng</x:v>
      </x:c>
      <x:c r="O85" s="14" t="str"/>
    </x:row>
    <x:row r="86">
      <x:c r="A86" s="14" t="str">
        <x:v>DORA-BCM-010</x:v>
      </x:c>
      <x:c r="B86" s="14" t="str">
        <x:v>07 Business Continuity &amp; Recovery</x:v>
      </x:c>
      <x:c r="C86" s="14" t="str">
        <x:v>Crisis and incident communication plan</x:v>
      </x:c>
      <x:c r="D86" s="14" t="str">
        <x:v>Maintain communication plans for ICT disruption affecting stakeholders, clients and authorities.</x:v>
      </x:c>
      <x:c r="E86" s="14" t="str">
        <x:v>Add contact lists, templates, escalation rules and communication approvals.</x:v>
      </x:c>
      <x:c r="F86" s="14" t="str">
        <x:v>DORA_FULL</x:v>
      </x:c>
      <x:c r="G86" s="14" t="str">
        <x:v>Art. 14; Art. 19</x:v>
      </x:c>
      <x:c r="H86" s="14" t="str">
        <x:v>RTS 2024/1774; RTS 2025/301</x:v>
      </x:c>
      <x:c r="I86" s="14" t="str">
        <x:v>Communication plan; contact matrix; notification templates</x:v>
      </x:c>
      <x:c r="J86" s="14" t="str">
        <x:v>Annual + event-driven</x:v>
      </x:c>
      <x:c r="K86" s="14" t="str">
        <x:v>Communications / Compliance</x:v>
      </x:c>
      <x:c r="L86" s="14" t="str">
        <x:v>Not Assessed</x:v>
      </x:c>
      <x:c r="M86" s="14" t="str">
        <x:v>High</x:v>
      </x:c>
      <x:c r="N86" s="14" t="str">
        <x:v>https://eur-lex.europa.eu/eli/reg_del/2024/1774/oj/eng</x:v>
      </x:c>
      <x:c r="O86" s="14" t="str"/>
    </x:row>
    <x:row r="87">
      <x:c r="A87" s="14" t="str">
        <x:v>DORA-BCM-011</x:v>
      </x:c>
      <x:c r="B87" s="14" t="str">
        <x:v>07 Business Continuity &amp; Recovery</x:v>
      </x:c>
      <x:c r="C87" s="14" t="str">
        <x:v>Alternative operating arrangements</x:v>
      </x:c>
      <x:c r="D87" s="14" t="str">
        <x:v>Define fallback arrangements for critical services during ICT disruption.</x:v>
      </x:c>
      <x:c r="E87" s="14" t="str">
        <x:v>Record manual procedures, alternate sites, redundant services and runbook evidence.</x:v>
      </x:c>
      <x:c r="F87" s="14" t="str">
        <x:v>DORA_FULL</x:v>
      </x:c>
      <x:c r="G87" s="14" t="str">
        <x:v>Art. 11; Art. 12</x:v>
      </x:c>
      <x:c r="H87" s="14" t="str">
        <x:v>RTS 2024/1774</x:v>
      </x:c>
      <x:c r="I87" s="14" t="str">
        <x:v>Fallback procedures; alternate site evidence; runbooks</x:v>
      </x:c>
      <x:c r="J87" s="14" t="str">
        <x:v>Annual</x:v>
      </x:c>
      <x:c r="K87" s="14" t="str">
        <x:v>BCM Manager / Operations</x:v>
      </x:c>
      <x:c r="L87" s="14" t="str">
        <x:v>Not Assessed</x:v>
      </x:c>
      <x:c r="M87" s="14" t="str">
        <x:v>High</x:v>
      </x:c>
      <x:c r="N87" s="14" t="str">
        <x:v>https://eur-lex.europa.eu/eli/reg_del/2024/1774/oj/eng</x:v>
      </x:c>
      <x:c r="O87" s="14" t="str"/>
    </x:row>
    <x:row r="88">
      <x:c r="A88" s="14" t="str">
        <x:v>DORA-BCM-012</x:v>
      </x:c>
      <x:c r="B88" s="14" t="str">
        <x:v>07 Business Continuity &amp; Recovery</x:v>
      </x:c>
      <x:c r="C88" s="14" t="str">
        <x:v>Plan update after tests/incidents</x:v>
      </x:c>
      <x:c r="D88" s="14" t="str">
        <x:v>Update continuity, backup and recovery plans based on incidents, tests and lessons learned.</x:v>
      </x:c>
      <x:c r="E88" s="14" t="str">
        <x:v>Trigger plan review from incident closure or failed test records.</x:v>
      </x:c>
      <x:c r="F88" s="14" t="str">
        <x:v>DORA_FULL; DORA_SIMPLIFIED</x:v>
      </x:c>
      <x:c r="G88" s="14" t="str">
        <x:v>Art. 11; Art. 12; Art. 13; Art. 16</x:v>
      </x:c>
      <x:c r="H88" s="14" t="str">
        <x:v>RTS 2024/1774</x:v>
      </x:c>
      <x:c r="I88" s="14" t="str">
        <x:v>Updated plans; change logs; lessons learned</x:v>
      </x:c>
      <x:c r="J88" s="14" t="str">
        <x:v>Event-driven</x:v>
      </x:c>
      <x:c r="K88" s="14" t="str">
        <x:v>BCM Manager</x:v>
      </x:c>
      <x:c r="L88" s="14" t="str">
        <x:v>Not Assessed</x:v>
      </x:c>
      <x:c r="M88" s="14" t="str">
        <x:v>High</x:v>
      </x:c>
      <x:c r="N88" s="14" t="str">
        <x:v>https://eur-lex.europa.eu/eli/reg_del/2024/1774/oj/eng</x:v>
      </x:c>
      <x:c r="O88" s="14" t="str"/>
    </x:row>
    <x:row r="89">
      <x:c r="A89" s="14" t="str">
        <x:v>DORA-TST-001</x:v>
      </x:c>
      <x:c r="B89" s="14" t="str">
        <x:v>08 Testing &amp; Assurance</x:v>
      </x:c>
      <x:c r="C89" s="14" t="str">
        <x:v>Digital operational resilience testing programme</x:v>
      </x:c>
      <x:c r="D89" s="14" t="str">
        <x:v>Develop, maintain and review a digital operational resilience testing programme.</x:v>
      </x:c>
      <x:c r="E89" s="14" t="str">
        <x:v>Create testing programme module with test types, scope, schedule, evidence and findings.</x:v>
      </x:c>
      <x:c r="F89" s="14" t="str">
        <x:v>DORA_FULL; DORA_SIMPLIFIED</x:v>
      </x:c>
      <x:c r="G89" s="14" t="str">
        <x:v>Art. 24</x:v>
      </x:c>
      <x:c r="H89" s="14" t="str">
        <x:v>RTS 2024/1774; RTS 2025/1190</x:v>
      </x:c>
      <x:c r="I89" s="14" t="str">
        <x:v>Testing programme; schedule; scope; reports</x:v>
      </x:c>
      <x:c r="J89" s="14" t="str">
        <x:v>Annual review</x:v>
      </x:c>
      <x:c r="K89" s="14" t="str">
        <x:v>CISO / Testing Manager</x:v>
      </x:c>
      <x:c r="L89" s="14" t="str">
        <x:v>Not Assessed</x:v>
      </x:c>
      <x:c r="M89" s="14" t="str">
        <x:v>High</x:v>
      </x:c>
      <x:c r="N89" s="14" t="str">
        <x:v>https://eur-lex.europa.eu/eli/reg/2022/2554/oj/eng</x:v>
      </x:c>
      <x:c r="O89" s="14" t="str"/>
    </x:row>
    <x:row r="90">
      <x:c r="A90" s="14" t="str">
        <x:v>DORA-TST-002</x:v>
      </x:c>
      <x:c r="B90" s="14" t="str">
        <x:v>08 Testing &amp; Assurance</x:v>
      </x:c>
      <x:c r="C90" s="14" t="str">
        <x:v>Annual testing of critical systems and applications</x:v>
      </x:c>
      <x:c r="D90" s="14" t="str">
        <x:v>Test ICT systems and applications supporting critical or important functions at least annually.</x:v>
      </x:c>
      <x:c r="E90" s="14" t="str">
        <x:v>Generate annual test calendar based on critical function mappings.</x:v>
      </x:c>
      <x:c r="F90" s="14" t="str">
        <x:v>DORA_FULL</x:v>
      </x:c>
      <x:c r="G90" s="14" t="str">
        <x:v>Art. 24; Art. 25</x:v>
      </x:c>
      <x:c r="H90" s="14" t="str">
        <x:v>RTS 2024/1774</x:v>
      </x:c>
      <x:c r="I90" s="14" t="str">
        <x:v>Test plans; test reports; scope evidence; remediation records</x:v>
      </x:c>
      <x:c r="J90" s="14" t="str">
        <x:v>At least annual</x:v>
      </x:c>
      <x:c r="K90" s="14" t="str">
        <x:v>Testing Manager / System Owners</x:v>
      </x:c>
      <x:c r="L90" s="14" t="str">
        <x:v>Not Assessed</x:v>
      </x:c>
      <x:c r="M90" s="14" t="str">
        <x:v>High</x:v>
      </x:c>
      <x:c r="N90" s="14" t="str">
        <x:v>https://www.bankofgreece.gr/en/main-tasks/supervision/dora-digital-operational-resilience-act-for-the-financial-sector</x:v>
      </x:c>
      <x:c r="O90" s="14" t="str"/>
    </x:row>
    <x:row r="91">
      <x:c r="A91" s="14" t="str">
        <x:v>DORA-TST-003</x:v>
      </x:c>
      <x:c r="B91" s="14" t="str">
        <x:v>08 Testing &amp; Assurance</x:v>
      </x:c>
      <x:c r="C91" s="14" t="str">
        <x:v>Vulnerability assessments</x:v>
      </x:c>
      <x:c r="D91" s="14" t="str">
        <x:v>Perform vulnerability assessments as part of resilience testing.</x:v>
      </x:c>
      <x:c r="E91" s="14" t="str">
        <x:v>Ingest scan results and track remediation against critical assets.</x:v>
      </x:c>
      <x:c r="F91" s="14" t="str">
        <x:v>DORA_FULL; DORA_SIMPLIFIED</x:v>
      </x:c>
      <x:c r="G91" s="14" t="str">
        <x:v>Art. 24; Art. 25; Art. 16</x:v>
      </x:c>
      <x:c r="H91" s="14" t="str">
        <x:v>RTS 2024/1774</x:v>
      </x:c>
      <x:c r="I91" s="14" t="str">
        <x:v>Vulnerability assessment reports; remediation tickets</x:v>
      </x:c>
      <x:c r="J91" s="14" t="str">
        <x:v>Risk-based / monthly</x:v>
      </x:c>
      <x:c r="K91" s="14" t="str">
        <x:v>Security Testing</x:v>
      </x:c>
      <x:c r="L91" s="14" t="str">
        <x:v>Not Assessed</x:v>
      </x:c>
      <x:c r="M91" s="14" t="str">
        <x:v>High</x:v>
      </x:c>
      <x:c r="N91" s="14" t="str">
        <x:v>https://eur-lex.europa.eu/eli/reg_del/2024/1774/oj/eng</x:v>
      </x:c>
      <x:c r="O91" s="14" t="str"/>
    </x:row>
    <x:row r="92">
      <x:c r="A92" s="14" t="str">
        <x:v>DORA-TST-004</x:v>
      </x:c>
      <x:c r="B92" s="14" t="str">
        <x:v>08 Testing &amp; Assurance</x:v>
      </x:c>
      <x:c r="C92" s="14" t="str">
        <x:v>Penetration testing</x:v>
      </x:c>
      <x:c r="D92" s="14" t="str">
        <x:v>Perform penetration tests of relevant ICT systems and applications based on risk.</x:v>
      </x:c>
      <x:c r="E92" s="14" t="str">
        <x:v>Record penetration test scope, provider, findings and closure evidence.</x:v>
      </x:c>
      <x:c r="F92" s="14" t="str">
        <x:v>DORA_FULL</x:v>
      </x:c>
      <x:c r="G92" s="14" t="str">
        <x:v>Art. 24; Art. 25</x:v>
      </x:c>
      <x:c r="H92" s="14" t="str">
        <x:v>RTS 2024/1774</x:v>
      </x:c>
      <x:c r="I92" s="14" t="str">
        <x:v>Pentest reports; remediation evidence; retest results</x:v>
      </x:c>
      <x:c r="J92" s="14" t="str">
        <x:v>Annual / risk-based</x:v>
      </x:c>
      <x:c r="K92" s="14" t="str">
        <x:v>Security Testing / CISO</x:v>
      </x:c>
      <x:c r="L92" s="14" t="str">
        <x:v>Not Assessed</x:v>
      </x:c>
      <x:c r="M92" s="14" t="str">
        <x:v>High</x:v>
      </x:c>
      <x:c r="N92" s="14" t="str">
        <x:v>https://eur-lex.europa.eu/eli/reg/2022/2554/oj/eng</x:v>
      </x:c>
      <x:c r="O92" s="14" t="str"/>
    </x:row>
    <x:row r="93">
      <x:c r="A93" s="14" t="str">
        <x:v>DORA-TST-005</x:v>
      </x:c>
      <x:c r="B93" s="14" t="str">
        <x:v>08 Testing &amp; Assurance</x:v>
      </x:c>
      <x:c r="C93" s="14" t="str">
        <x:v>Scenario-based and tabletop exercises</x:v>
      </x:c>
      <x:c r="D93" s="14" t="str">
        <x:v>Use scenario-based tests to validate resilience, response and coordination.</x:v>
      </x:c>
      <x:c r="E93" s="14" t="str">
        <x:v>Maintain exercise scenarios, participants, outcomes and lessons learned.</x:v>
      </x:c>
      <x:c r="F93" s="14" t="str">
        <x:v>DORA_FULL</x:v>
      </x:c>
      <x:c r="G93" s="14" t="str">
        <x:v>Art. 24; Art. 25</x:v>
      </x:c>
      <x:c r="H93" s="14" t="str">
        <x:v>RTS 2024/1774</x:v>
      </x:c>
      <x:c r="I93" s="14" t="str">
        <x:v>Exercise plans; tabletop reports; action logs</x:v>
      </x:c>
      <x:c r="J93" s="14" t="str">
        <x:v>Annual</x:v>
      </x:c>
      <x:c r="K93" s="14" t="str">
        <x:v>BCM / Incident Manager</x:v>
      </x:c>
      <x:c r="L93" s="14" t="str">
        <x:v>Not Assessed</x:v>
      </x:c>
      <x:c r="M93" s="14" t="str">
        <x:v>High</x:v>
      </x:c>
      <x:c r="N93" s="14" t="str">
        <x:v>https://eur-lex.europa.eu/eli/reg/2022/2554/oj/eng</x:v>
      </x:c>
      <x:c r="O93" s="14" t="str"/>
    </x:row>
    <x:row r="94">
      <x:c r="A94" s="14" t="str">
        <x:v>DORA-TST-006</x:v>
      </x:c>
      <x:c r="B94" s="14" t="str">
        <x:v>08 Testing &amp; Assurance</x:v>
      </x:c>
      <x:c r="C94" s="14" t="str">
        <x:v>Performance and capacity testing</x:v>
      </x:c>
      <x:c r="D94" s="14" t="str">
        <x:v>Test performance and capacity of systems supporting critical or important functions.</x:v>
      </x:c>
      <x:c r="E94" s="14" t="str">
        <x:v>Capture performance test results and link gaps to resilience risks.</x:v>
      </x:c>
      <x:c r="F94" s="14" t="str">
        <x:v>DORA_FULL</x:v>
      </x:c>
      <x:c r="G94" s="14" t="str">
        <x:v>Art. 24; Art. 25</x:v>
      </x:c>
      <x:c r="H94" s="14" t="str">
        <x:v>RTS 2024/1774</x:v>
      </x:c>
      <x:c r="I94" s="14" t="str">
        <x:v>Performance test reports; capacity analysis; remediation</x:v>
      </x:c>
      <x:c r="J94" s="14" t="str">
        <x:v>Annual / change-driven</x:v>
      </x:c>
      <x:c r="K94" s="14" t="str">
        <x:v>IT Operations / Application Owner</x:v>
      </x:c>
      <x:c r="L94" s="14" t="str">
        <x:v>Not Assessed</x:v>
      </x:c>
      <x:c r="M94" s="14" t="str">
        <x:v>High</x:v>
      </x:c>
      <x:c r="N94" s="14" t="str">
        <x:v>https://eur-lex.europa.eu/eli/reg_del/2024/1774/oj/eng</x:v>
      </x:c>
      <x:c r="O94" s="14" t="str"/>
    </x:row>
    <x:row r="95">
      <x:c r="A95" s="14" t="str">
        <x:v>DORA-TST-007</x:v>
      </x:c>
      <x:c r="B95" s="14" t="str">
        <x:v>08 Testing &amp; Assurance</x:v>
      </x:c>
      <x:c r="C95" s="14" t="str">
        <x:v>End-to-end and compatibility testing</x:v>
      </x:c>
      <x:c r="D95" s="14" t="str">
        <x:v>Validate end-to-end processing and compatibility across ICT systems and dependencies.</x:v>
      </x:c>
      <x:c r="E95" s="14" t="str">
        <x:v>Track test coverage for critical processes, interfaces and third-party integrations.</x:v>
      </x:c>
      <x:c r="F95" s="14" t="str">
        <x:v>DORA_FULL</x:v>
      </x:c>
      <x:c r="G95" s="14" t="str">
        <x:v>Art. 24; Art. 25</x:v>
      </x:c>
      <x:c r="H95" s="14" t="str">
        <x:v>RTS 2024/1774</x:v>
      </x:c>
      <x:c r="I95" s="14" t="str">
        <x:v>E2E test reports; interface test evidence; issue logs</x:v>
      </x:c>
      <x:c r="J95" s="14" t="str">
        <x:v>Annual / release-driven</x:v>
      </x:c>
      <x:c r="K95" s="14" t="str">
        <x:v>Application Owner</x:v>
      </x:c>
      <x:c r="L95" s="14" t="str">
        <x:v>Not Assessed</x:v>
      </x:c>
      <x:c r="M95" s="14" t="str">
        <x:v>High</x:v>
      </x:c>
      <x:c r="N95" s="14" t="str">
        <x:v>https://eur-lex.europa.eu/eli/reg_del/2024/1774/oj/eng</x:v>
      </x:c>
      <x:c r="O95" s="14" t="str"/>
    </x:row>
    <x:row r="96">
      <x:c r="A96" s="14" t="str">
        <x:v>DORA-TST-008</x:v>
      </x:c>
      <x:c r="B96" s="14" t="str">
        <x:v>08 Testing &amp; Assurance</x:v>
      </x:c>
      <x:c r="C96" s="14" t="str">
        <x:v>Testing findings remediation</x:v>
      </x:c>
      <x:c r="D96" s="14" t="str">
        <x:v>Track and close findings identified through digital operational resilience testing.</x:v>
      </x:c>
      <x:c r="E96" s="14" t="str">
        <x:v>Create remediation tasks, due dates, risk acceptance and retest evidence.</x:v>
      </x:c>
      <x:c r="F96" s="14" t="str">
        <x:v>DORA_FULL; DORA_SIMPLIFIED</x:v>
      </x:c>
      <x:c r="G96" s="14" t="str">
        <x:v>Art. 24; Art. 25; Art. 16</x:v>
      </x:c>
      <x:c r="H96" s="14" t="str">
        <x:v>RTS 2024/1774</x:v>
      </x:c>
      <x:c r="I96" s="14" t="str">
        <x:v>Finding register; remediation tickets; retest results</x:v>
      </x:c>
      <x:c r="J96" s="14" t="str">
        <x:v>Monthly until closure</x:v>
      </x:c>
      <x:c r="K96" s="14" t="str">
        <x:v>Control Owner / Testing Manager</x:v>
      </x:c>
      <x:c r="L96" s="14" t="str">
        <x:v>Not Assessed</x:v>
      </x:c>
      <x:c r="M96" s="14" t="str">
        <x:v>High</x:v>
      </x:c>
      <x:c r="N96" s="14" t="str">
        <x:v>https://eur-lex.europa.eu/eli/reg_del/2024/1774/oj/eng</x:v>
      </x:c>
      <x:c r="O96" s="14" t="str"/>
    </x:row>
    <x:row r="97">
      <x:c r="A97" s="14" t="str">
        <x:v>DORA-TST-009</x:v>
      </x:c>
      <x:c r="B97" s="14" t="str">
        <x:v>08 Testing &amp; Assurance</x:v>
      </x:c>
      <x:c r="C97" s="14" t="str">
        <x:v>Independence and competence of testers</x:v>
      </x:c>
      <x:c r="D97" s="14" t="str">
        <x:v>Ensure testing is performed by competent and appropriately independent internal or external testers.</x:v>
      </x:c>
      <x:c r="E97" s="14" t="str">
        <x:v>Track tester qualifications, independence declarations and provider due diligence.</x:v>
      </x:c>
      <x:c r="F97" s="14" t="str">
        <x:v>DORA_FULL; TLPT_SELECTED</x:v>
      </x:c>
      <x:c r="G97" s="14" t="str">
        <x:v>Art. 24; Art. 27</x:v>
      </x:c>
      <x:c r="H97" s="14" t="str">
        <x:v>RTS 2025/1190</x:v>
      </x:c>
      <x:c r="I97" s="14" t="str">
        <x:v>Tester CVs; certificates; independence declarations; contracts</x:v>
      </x:c>
      <x:c r="J97" s="14" t="str">
        <x:v>Per test</x:v>
      </x:c>
      <x:c r="K97" s="14" t="str">
        <x:v>CISO / Procurement</x:v>
      </x:c>
      <x:c r="L97" s="14" t="str">
        <x:v>Not Assessed</x:v>
      </x:c>
      <x:c r="M97" s="14" t="str">
        <x:v>High</x:v>
      </x:c>
      <x:c r="N97" s="14" t="str">
        <x:v>https://eur-lex.europa.eu/eli/reg_del/2025/1190/oj/eng</x:v>
      </x:c>
      <x:c r="O97" s="14" t="str"/>
    </x:row>
    <x:row r="98">
      <x:c r="A98" s="14" t="str">
        <x:v>DORA-TLPT-001</x:v>
      </x:c>
      <x:c r="B98" s="14" t="str">
        <x:v>08 Testing &amp; Assurance</x:v>
      </x:c>
      <x:c r="C98" s="14" t="str">
        <x:v>TLPT applicability assessment</x:v>
      </x:c>
      <x:c r="D98" s="14" t="str">
        <x:v>Determine whether the financial entity is required by the competent/TLPT authority to perform TLPT.</x:v>
      </x:c>
      <x:c r="E98" s="14" t="str">
        <x:v>Add TLPT selection field and applicability workflow based on authority decision, systemic importance and ICT risk profile.</x:v>
      </x:c>
      <x:c r="F98" s="14" t="str">
        <x:v>TLPT_SELECTED; CONDITIONAL</x:v>
      </x:c>
      <x:c r="G98" s="14" t="str">
        <x:v>Art. 26</x:v>
      </x:c>
      <x:c r="H98" s="14" t="str">
        <x:v>RTS 2025/1190 Art. 2</x:v>
      </x:c>
      <x:c r="I98" s="14" t="str">
        <x:v>Authority notification; TLPT applicability assessment; management decision</x:v>
      </x:c>
      <x:c r="J98" s="14" t="str">
        <x:v>Annual / on authority request</x:v>
      </x:c>
      <x:c r="K98" s="14" t="str">
        <x:v>Compliance / CISO</x:v>
      </x:c>
      <x:c r="L98" s="14" t="str">
        <x:v>Not Assessed</x:v>
      </x:c>
      <x:c r="M98" s="14" t="str">
        <x:v>High</x:v>
      </x:c>
      <x:c r="N98" s="14" t="str">
        <x:v>https://eur-lex.europa.eu/eli/reg_del/2025/1190/oj/eng</x:v>
      </x:c>
      <x:c r="O98" s="14" t="str"/>
    </x:row>
    <x:row r="99">
      <x:c r="A99" s="14" t="str">
        <x:v>DORA-TLPT-002</x:v>
      </x:c>
      <x:c r="B99" s="14" t="str">
        <x:v>08 Testing &amp; Assurance</x:v>
      </x:c>
      <x:c r="C99" s="14" t="str">
        <x:v>TLPT governance and authority coordination</x:v>
      </x:c>
      <x:c r="D99" s="14" t="str">
        <x:v>Establish TLPT governance, test manager role and coordination with TLPT authorities.</x:v>
      </x:c>
      <x:c r="E99" s="14" t="str">
        <x:v>Create TLPT project workflow with TCT/authority communications and approvals.</x:v>
      </x:c>
      <x:c r="F99" s="14" t="str">
        <x:v>TLPT_SELECTED</x:v>
      </x:c>
      <x:c r="G99" s="14" t="str">
        <x:v>Art. 26; Art. 27</x:v>
      </x:c>
      <x:c r="H99" s="14" t="str">
        <x:v>RTS 2025/1190</x:v>
      </x:c>
      <x:c r="I99" s="14" t="str">
        <x:v>TLPT project charter; authority correspondence; test manager appointment</x:v>
      </x:c>
      <x:c r="J99" s="14" t="str">
        <x:v>Per TLPT</x:v>
      </x:c>
      <x:c r="K99" s="14" t="str">
        <x:v>TLPT Test Manager / CISO</x:v>
      </x:c>
      <x:c r="L99" s="14" t="str">
        <x:v>Not Assessed</x:v>
      </x:c>
      <x:c r="M99" s="14" t="str">
        <x:v>High</x:v>
      </x:c>
      <x:c r="N99" s="14" t="str">
        <x:v>https://eur-lex.europa.eu/eli/reg_del/2025/1190/oj/eng</x:v>
      </x:c>
      <x:c r="O99" s="14" t="str"/>
    </x:row>
    <x:row r="100">
      <x:c r="A100" s="14" t="str">
        <x:v>DORA-TLPT-003</x:v>
      </x:c>
      <x:c r="B100" s="14" t="str">
        <x:v>08 Testing &amp; Assurance</x:v>
      </x:c>
      <x:c r="C100" s="14" t="str">
        <x:v>TLPT scope over critical or important functions</x:v>
      </x:c>
      <x:c r="D100" s="14" t="str">
        <x:v>Scope TLPT over several or all critical or important functions and live production systems supporting them.</x:v>
      </x:c>
      <x:c r="E100" s="14" t="str">
        <x:v>Generate TLPT scope from critical function and system dependency map.</x:v>
      </x:c>
      <x:c r="F100" s="14" t="str">
        <x:v>TLPT_SELECTED</x:v>
      </x:c>
      <x:c r="G100" s="14" t="str">
        <x:v>Art. 26</x:v>
      </x:c>
      <x:c r="H100" s="14" t="str">
        <x:v>RTS 2025/1190</x:v>
      </x:c>
      <x:c r="I100" s="14" t="str">
        <x:v>Validated TLPT scope; system/function list; risk assessment</x:v>
      </x:c>
      <x:c r="J100" s="14" t="str">
        <x:v>Per TLPT</x:v>
      </x:c>
      <x:c r="K100" s="14" t="str">
        <x:v>TLPT Test Manager</x:v>
      </x:c>
      <x:c r="L100" s="14" t="str">
        <x:v>Not Assessed</x:v>
      </x:c>
      <x:c r="M100" s="14" t="str">
        <x:v>High</x:v>
      </x:c>
      <x:c r="N100" s="14" t="str">
        <x:v>https://eur-lex.europa.eu/eli/reg_del/2025/1190/oj/eng</x:v>
      </x:c>
      <x:c r="O100" s="14" t="str"/>
    </x:row>
    <x:row r="101">
      <x:c r="A101" s="14" t="str">
        <x:v>DORA-TLPT-004</x:v>
      </x:c>
      <x:c r="B101" s="14" t="str">
        <x:v>08 Testing &amp; Assurance</x:v>
      </x:c>
      <x:c r="C101" s="14" t="str">
        <x:v>Threat intelligence provider selection</x:v>
      </x:c>
      <x:c r="D101" s="14" t="str">
        <x:v>Select competent threat intelligence providers for TLPT preparation.</x:v>
      </x:c>
      <x:c r="E101" s="14" t="str">
        <x:v>Track provider due diligence, qualifications, independence and contract evidence.</x:v>
      </x:c>
      <x:c r="F101" s="14" t="str">
        <x:v>TLPT_SELECTED</x:v>
      </x:c>
      <x:c r="G101" s="14" t="str">
        <x:v>Art. 26; Art. 27</x:v>
      </x:c>
      <x:c r="H101" s="14" t="str">
        <x:v>RTS 2025/1190</x:v>
      </x:c>
      <x:c r="I101" s="14" t="str">
        <x:v>TI provider contract; due diligence; qualifications</x:v>
      </x:c>
      <x:c r="J101" s="14" t="str">
        <x:v>Per TLPT</x:v>
      </x:c>
      <x:c r="K101" s="14" t="str">
        <x:v>Procurement / CISO</x:v>
      </x:c>
      <x:c r="L101" s="14" t="str">
        <x:v>Not Assessed</x:v>
      </x:c>
      <x:c r="M101" s="14" t="str">
        <x:v>High</x:v>
      </x:c>
      <x:c r="N101" s="14" t="str">
        <x:v>https://eur-lex.europa.eu/eli/reg_del/2025/1190/oj/eng</x:v>
      </x:c>
      <x:c r="O101" s="14" t="str"/>
    </x:row>
    <x:row r="102">
      <x:c r="A102" s="14" t="str">
        <x:v>DORA-TLPT-005</x:v>
      </x:c>
      <x:c r="B102" s="14" t="str">
        <x:v>08 Testing &amp; Assurance</x:v>
      </x:c>
      <x:c r="C102" s="14" t="str">
        <x:v>Red team provider requirements</x:v>
      </x:c>
      <x:c r="D102" s="14" t="str">
        <x:v>Select and manage qualified red team testers for TLPT execution.</x:v>
      </x:c>
      <x:c r="E102" s="14" t="str">
        <x:v>Track external/internal tester requirements, competence and independence evidence.</x:v>
      </x:c>
      <x:c r="F102" s="14" t="str">
        <x:v>TLPT_SELECTED</x:v>
      </x:c>
      <x:c r="G102" s="14" t="str">
        <x:v>Art. 27</x:v>
      </x:c>
      <x:c r="H102" s="14" t="str">
        <x:v>RTS 2025/1190</x:v>
      </x:c>
      <x:c r="I102" s="14" t="str">
        <x:v>Red team contract; CVs; certifications; independence evidence</x:v>
      </x:c>
      <x:c r="J102" s="14" t="str">
        <x:v>Per TLPT</x:v>
      </x:c>
      <x:c r="K102" s="14" t="str">
        <x:v>TLPT Test Manager</x:v>
      </x:c>
      <x:c r="L102" s="14" t="str">
        <x:v>Not Assessed</x:v>
      </x:c>
      <x:c r="M102" s="14" t="str">
        <x:v>High</x:v>
      </x:c>
      <x:c r="N102" s="14" t="str">
        <x:v>https://eur-lex.europa.eu/eli/reg_del/2025/1190/oj/eng</x:v>
      </x:c>
      <x:c r="O102" s="14" t="str"/>
    </x:row>
    <x:row r="103">
      <x:c r="A103" s="14" t="str">
        <x:v>DORA-TLPT-006</x:v>
      </x:c>
      <x:c r="B103" s="14" t="str">
        <x:v>08 Testing &amp; Assurance</x:v>
      </x:c>
      <x:c r="C103" s="14" t="str">
        <x:v>TLPT risk management for live production testing</x:v>
      </x:c>
      <x:c r="D103" s="14" t="str">
        <x:v>Manage operational and security risks arising from threat-led testing on live systems.</x:v>
      </x:c>
      <x:c r="E103" s="14" t="str">
        <x:v>Add safety controls, stop criteria, escalation contacts and approval workflow.</x:v>
      </x:c>
      <x:c r="F103" s="14" t="str">
        <x:v>TLPT_SELECTED</x:v>
      </x:c>
      <x:c r="G103" s="14" t="str">
        <x:v>Art. 26; Art. 27</x:v>
      </x:c>
      <x:c r="H103" s="14" t="str">
        <x:v>RTS 2025/1190</x:v>
      </x:c>
      <x:c r="I103" s="14" t="str">
        <x:v>TLPT risk assessment; safety plan; stop/rollback procedures</x:v>
      </x:c>
      <x:c r="J103" s="14" t="str">
        <x:v>Per TLPT</x:v>
      </x:c>
      <x:c r="K103" s="14" t="str">
        <x:v>TLPT Test Manager / Operations</x:v>
      </x:c>
      <x:c r="L103" s="14" t="str">
        <x:v>Not Assessed</x:v>
      </x:c>
      <x:c r="M103" s="14" t="str">
        <x:v>High</x:v>
      </x:c>
      <x:c r="N103" s="14" t="str">
        <x:v>https://eur-lex.europa.eu/eli/reg_del/2025/1190/oj/eng</x:v>
      </x:c>
      <x:c r="O103" s="14" t="str"/>
    </x:row>
    <x:row r="104">
      <x:c r="A104" s="14" t="str">
        <x:v>DORA-TLPT-007</x:v>
      </x:c>
      <x:c r="B104" s="14" t="str">
        <x:v>08 Testing &amp; Assurance</x:v>
      </x:c>
      <x:c r="C104" s="14" t="str">
        <x:v>TLPT reports, closure and remediation</x:v>
      </x:c>
      <x:c r="D104" s="14" t="str">
        <x:v>Document TLPT results, closure, attestation and remediation actions.</x:v>
      </x:c>
      <x:c r="E104" s="14" t="str">
        <x:v>Store TLPT deliverables and connect findings to remediation and risk updates.</x:v>
      </x:c>
      <x:c r="F104" s="14" t="str">
        <x:v>TLPT_SELECTED</x:v>
      </x:c>
      <x:c r="G104" s="14" t="str">
        <x:v>Art. 26; Art. 27</x:v>
      </x:c>
      <x:c r="H104" s="14" t="str">
        <x:v>RTS 2025/1190</x:v>
      </x:c>
      <x:c r="I104" s="14" t="str">
        <x:v>TLPT reports; closure documentation; remediation plan; retest evidence</x:v>
      </x:c>
      <x:c r="J104" s="14" t="str">
        <x:v>Per TLPT</x:v>
      </x:c>
      <x:c r="K104" s="14" t="str">
        <x:v>CISO / TLPT Test Manager</x:v>
      </x:c>
      <x:c r="L104" s="14" t="str">
        <x:v>Not Assessed</x:v>
      </x:c>
      <x:c r="M104" s="14" t="str">
        <x:v>High</x:v>
      </x:c>
      <x:c r="N104" s="14" t="str">
        <x:v>https://eur-lex.europa.eu/eli/reg_del/2025/1190/oj/eng</x:v>
      </x:c>
      <x:c r="O104" s="14" t="str"/>
    </x:row>
    <x:row r="105">
      <x:c r="A105" s="14" t="str">
        <x:v>DORA-TLPT-008</x:v>
      </x:c>
      <x:c r="B105" s="14" t="str">
        <x:v>08 Testing &amp; Assurance</x:v>
      </x:c>
      <x:c r="C105" s="14" t="str">
        <x:v>TLPT three-year planning cycle</x:v>
      </x:c>
      <x:c r="D105" s="14" t="str">
        <x:v>Maintain planning for TLPT at the frequency required for selected financial entities.</x:v>
      </x:c>
      <x:c r="E105" s="14" t="str">
        <x:v>Add TLPT scheduling fields and reminders with authority validation where required.</x:v>
      </x:c>
      <x:c r="F105" s="14" t="str">
        <x:v>TLPT_SELECTED</x:v>
      </x:c>
      <x:c r="G105" s="14" t="str">
        <x:v>Art. 26</x:v>
      </x:c>
      <x:c r="H105" s="14" t="str">
        <x:v>RTS 2025/1190</x:v>
      </x:c>
      <x:c r="I105" s="14" t="str">
        <x:v>TLPT calendar; authority decision; previous TLPT attestation</x:v>
      </x:c>
      <x:c r="J105" s="14" t="str">
        <x:v>Every 3 years or authority-defined</x:v>
      </x:c>
      <x:c r="K105" s="14" t="str">
        <x:v>Compliance / CISO</x:v>
      </x:c>
      <x:c r="L105" s="14" t="str">
        <x:v>Not Assessed</x:v>
      </x:c>
      <x:c r="M105" s="14" t="str">
        <x:v>High</x:v>
      </x:c>
      <x:c r="N105" s="14" t="str">
        <x:v>https://eur-lex.europa.eu/eli/reg_del/2025/1190/oj/eng</x:v>
      </x:c>
      <x:c r="O105" s="14" t="str"/>
    </x:row>
    <x:row r="106">
      <x:c r="A106" s="14" t="str">
        <x:v>DORA-TPR-001</x:v>
      </x:c>
      <x:c r="B106" s="14" t="str">
        <x:v>09 ICT Third-Party Risk &amp; Contracts</x:v>
      </x:c>
      <x:c r="C106" s="14" t="str">
        <x:v>ICT third-party risk strategy</x:v>
      </x:c>
      <x:c r="D106" s="14" t="str">
        <x:v>Adopt and regularly review a strategy on ICT third-party risk where applicable.</x:v>
      </x:c>
      <x:c r="E106" s="14" t="str">
        <x:v>Create TPRM strategy record linked to multi-vendor strategy and concentration risk.</x:v>
      </x:c>
      <x:c r="F106" s="14" t="str">
        <x:v>DORA_FULL; THIRD_PARTY</x:v>
      </x:c>
      <x:c r="G106" s="14" t="str">
        <x:v>Art. 28(2)</x:v>
      </x:c>
      <x:c r="H106" s="14" t="str">
        <x:v>RTS 2024/1773</x:v>
      </x:c>
      <x:c r="I106" s="14" t="str">
        <x:v>ICT third-party risk strategy; management approval; review evidence</x:v>
      </x:c>
      <x:c r="J106" s="14" t="str">
        <x:v>Annual</x:v>
      </x:c>
      <x:c r="K106" s="14" t="str">
        <x:v>Third-Party Risk Manager</x:v>
      </x:c>
      <x:c r="L106" s="14" t="str">
        <x:v>Not Assessed</x:v>
      </x:c>
      <x:c r="M106" s="14" t="str">
        <x:v>High</x:v>
      </x:c>
      <x:c r="N106" s="14" t="str">
        <x:v>https://eur-lex.europa.eu/eli/reg_del/2024/1773/oj/eng</x:v>
      </x:c>
      <x:c r="O106" s="14" t="str"/>
    </x:row>
    <x:row r="107">
      <x:c r="A107" s="14" t="str">
        <x:v>DORA-TPR-002</x:v>
      </x:c>
      <x:c r="B107" s="14" t="str">
        <x:v>09 ICT Third-Party Risk &amp; Contracts</x:v>
      </x:c>
      <x:c r="C107" s="14" t="str">
        <x:v>Policy for ICT services supporting critical or important functions</x:v>
      </x:c>
      <x:c r="D107" s="14" t="str">
        <x:v>Maintain a policy for contractual arrangements on ICT services supporting critical or important functions.</x:v>
      </x:c>
      <x:c r="E107" s="14" t="str">
        <x:v>Enable policy lifecycle covering planning, approval, implementation, monitoring and termination.</x:v>
      </x:c>
      <x:c r="F107" s="14" t="str">
        <x:v>DORA_FULL; THIRD_PARTY; CRITICAL_IMPORTANT_FUNCTION</x:v>
      </x:c>
      <x:c r="G107" s="14" t="str">
        <x:v>Art. 28(2); Art. 30</x:v>
      </x:c>
      <x:c r="H107" s="14" t="str">
        <x:v>RTS 2024/1773</x:v>
      </x:c>
      <x:c r="I107" s="14" t="str">
        <x:v>ICT outsourcing/third-party policy; approval records</x:v>
      </x:c>
      <x:c r="J107" s="14" t="str">
        <x:v>Annual</x:v>
      </x:c>
      <x:c r="K107" s="14" t="str">
        <x:v>Third-Party Risk Manager / Compliance</x:v>
      </x:c>
      <x:c r="L107" s="14" t="str">
        <x:v>Not Assessed</x:v>
      </x:c>
      <x:c r="M107" s="14" t="str">
        <x:v>High</x:v>
      </x:c>
      <x:c r="N107" s="14" t="str">
        <x:v>https://eur-lex.europa.eu/eli/reg_del/2024/1773/oj/eng</x:v>
      </x:c>
      <x:c r="O107" s="14" t="str"/>
    </x:row>
    <x:row r="108">
      <x:c r="A108" s="14" t="str">
        <x:v>DORA-TPR-003</x:v>
      </x:c>
      <x:c r="B108" s="14" t="str">
        <x:v>09 ICT Third-Party Risk &amp; Contracts</x:v>
      </x:c>
      <x:c r="C108" s="14" t="str">
        <x:v>ICT service and critical function classification</x:v>
      </x:c>
      <x:c r="D108" s="14" t="str">
        <x:v>Classify ICT services by whether they support critical or important functions.</x:v>
      </x:c>
      <x:c r="E108" s="14" t="str">
        <x:v>Add service classification field and link to contracts, providers, RoI and risk assessment.</x:v>
      </x:c>
      <x:c r="F108" s="14" t="str">
        <x:v>DORA_FULL; THIRD_PARTY</x:v>
      </x:c>
      <x:c r="G108" s="14" t="str">
        <x:v>Art. 28; Art. 30</x:v>
      </x:c>
      <x:c r="H108" s="14" t="str">
        <x:v>RTS 2024/1773; ITS 2024/2956</x:v>
      </x:c>
      <x:c r="I108" s="14" t="str">
        <x:v>Service classification; function mapping; RoI entries</x:v>
      </x:c>
      <x:c r="J108" s="14" t="str">
        <x:v>Per contract + review</x:v>
      </x:c>
      <x:c r="K108" s="14" t="str">
        <x:v>Third-Party Risk Manager</x:v>
      </x:c>
      <x:c r="L108" s="14" t="str">
        <x:v>Not Assessed</x:v>
      </x:c>
      <x:c r="M108" s="14" t="str">
        <x:v>High</x:v>
      </x:c>
      <x:c r="N108" s="14" t="str">
        <x:v>https://eur-lex.europa.eu/eli/reg_impl/2024/2956/oj/eng</x:v>
      </x:c>
      <x:c r="O108" s="14" t="str"/>
    </x:row>
    <x:row r="109">
      <x:c r="A109" s="14" t="str">
        <x:v>DORA-TPR-004</x:v>
      </x:c>
      <x:c r="B109" s="14" t="str">
        <x:v>09 ICT Third-Party Risk &amp; Contracts</x:v>
      </x:c>
      <x:c r="C109" s="14" t="str">
        <x:v>Pre-contract due diligence</x:v>
      </x:c>
      <x:c r="D109" s="14" t="str">
        <x:v>Assess ICT third-party service providers before entering contractual arrangements.</x:v>
      </x:c>
      <x:c r="E109" s="14" t="str">
        <x:v>Create due diligence questionnaire with info security, resilience, financial, legal and concentration checks.</x:v>
      </x:c>
      <x:c r="F109" s="14" t="str">
        <x:v>DORA_FULL; THIRD_PARTY</x:v>
      </x:c>
      <x:c r="G109" s="14" t="str">
        <x:v>Art. 28; Art. 29</x:v>
      </x:c>
      <x:c r="H109" s="14" t="str">
        <x:v>RTS 2024/1773</x:v>
      </x:c>
      <x:c r="I109" s="14" t="str">
        <x:v>Due diligence report; risk assessment; approvals</x:v>
      </x:c>
      <x:c r="J109" s="14" t="str">
        <x:v>Before contract</x:v>
      </x:c>
      <x:c r="K109" s="14" t="str">
        <x:v>Procurement / Third-Party Risk</x:v>
      </x:c>
      <x:c r="L109" s="14" t="str">
        <x:v>Not Assessed</x:v>
      </x:c>
      <x:c r="M109" s="14" t="str">
        <x:v>High</x:v>
      </x:c>
      <x:c r="N109" s="14" t="str">
        <x:v>https://eur-lex.europa.eu/eli/reg_del/2024/1773/oj/eng</x:v>
      </x:c>
      <x:c r="O109" s="14" t="str"/>
    </x:row>
    <x:row r="110">
      <x:c r="A110" s="14" t="str">
        <x:v>DORA-TPR-005</x:v>
      </x:c>
      <x:c r="B110" s="14" t="str">
        <x:v>09 ICT Third-Party Risk &amp; Contracts</x:v>
      </x:c>
      <x:c r="C110" s="14" t="str">
        <x:v>Provider information security standards</x:v>
      </x:c>
      <x:c r="D110" s="14" t="str">
        <x:v>Only enter arrangements with ICT third-party providers that meet appropriate information security standards.</x:v>
      </x:c>
      <x:c r="E110" s="14" t="str">
        <x:v>Capture provider certifications, attestations, control reports and exceptions.</x:v>
      </x:c>
      <x:c r="F110" s="14" t="str">
        <x:v>DORA_FULL; THIRD_PARTY</x:v>
      </x:c>
      <x:c r="G110" s="14" t="str">
        <x:v>Art. 28(5)</x:v>
      </x:c>
      <x:c r="H110" s="14" t="str">
        <x:v>RTS 2024/1773</x:v>
      </x:c>
      <x:c r="I110" s="14" t="str">
        <x:v>ISO/SOC reports; security questionnaires; certification records</x:v>
      </x:c>
      <x:c r="J110" s="14" t="str">
        <x:v>Before contract + annual</x:v>
      </x:c>
      <x:c r="K110" s="14" t="str">
        <x:v>Third-Party Risk Manager</x:v>
      </x:c>
      <x:c r="L110" s="14" t="str">
        <x:v>Not Assessed</x:v>
      </x:c>
      <x:c r="M110" s="14" t="str">
        <x:v>High</x:v>
      </x:c>
      <x:c r="N110" s="14" t="str">
        <x:v>https://eur-lex.europa.eu/eli/reg/2022/2554/oj/eng</x:v>
      </x:c>
      <x:c r="O110" s="14" t="str"/>
    </x:row>
    <x:row r="111">
      <x:c r="A111" s="14" t="str">
        <x:v>DORA-TPR-006</x:v>
      </x:c>
      <x:c r="B111" s="14" t="str">
        <x:v>09 ICT Third-Party Risk &amp; Contracts</x:v>
      </x:c>
      <x:c r="C111" s="14" t="str">
        <x:v>ICT concentration risk assessment</x:v>
      </x:c>
      <x:c r="D111" s="14" t="str">
        <x:v>Assess concentration risk for providers, critical services, subcontractors and geographic dependencies.</x:v>
      </x:c>
      <x:c r="E111" s="14" t="str">
        <x:v>Add concentration dashboard by provider, service category, country, group and subcontractor.</x:v>
      </x:c>
      <x:c r="F111" s="14" t="str">
        <x:v>DORA_FULL; THIRD_PARTY</x:v>
      </x:c>
      <x:c r="G111" s="14" t="str">
        <x:v>Art. 29</x:v>
      </x:c>
      <x:c r="H111" s="14" t="str">
        <x:v>RTS 2024/1773; ITS 2024/2956</x:v>
      </x:c>
      <x:c r="I111" s="14" t="str">
        <x:v>Concentration risk assessment; provider dependency report</x:v>
      </x:c>
      <x:c r="J111" s="14" t="str">
        <x:v>Annual + before critical contract</x:v>
      </x:c>
      <x:c r="K111" s="14" t="str">
        <x:v>Risk Manager / TPRM</x:v>
      </x:c>
      <x:c r="L111" s="14" t="str">
        <x:v>Not Assessed</x:v>
      </x:c>
      <x:c r="M111" s="14" t="str">
        <x:v>High</x:v>
      </x:c>
      <x:c r="N111" s="14" t="str">
        <x:v>https://eur-lex.europa.eu/eli/reg/2022/2554/oj/eng</x:v>
      </x:c>
      <x:c r="O111" s="14" t="str"/>
    </x:row>
    <x:row r="112">
      <x:c r="A112" s="14" t="str">
        <x:v>DORA-TPR-007</x:v>
      </x:c>
      <x:c r="B112" s="14" t="str">
        <x:v>09 ICT Third-Party Risk &amp; Contracts</x:v>
      </x:c>
      <x:c r="C112" s="14" t="str">
        <x:v>Risk assessment before CIF-supported ICT contracting</x:v>
      </x:c>
      <x:c r="D112" s="14" t="str">
        <x:v>Assess risks before contracting ICT services supporting critical or important functions.</x:v>
      </x:c>
      <x:c r="E112" s="14" t="str">
        <x:v>Add approval gate requiring risk assessment and management sign-off for CIF-supported services.</x:v>
      </x:c>
      <x:c r="F112" s="14" t="str">
        <x:v>DORA_FULL; THIRD_PARTY; CRITICAL_IMPORTANT_FUNCTION</x:v>
      </x:c>
      <x:c r="G112" s="14" t="str">
        <x:v>Art. 28; Art. 29</x:v>
      </x:c>
      <x:c r="H112" s="14" t="str">
        <x:v>RTS 2024/1773</x:v>
      </x:c>
      <x:c r="I112" s="14" t="str">
        <x:v>Pre-contract risk assessment; approvals; due diligence evidence</x:v>
      </x:c>
      <x:c r="J112" s="14" t="str">
        <x:v>Before contract</x:v>
      </x:c>
      <x:c r="K112" s="14" t="str">
        <x:v>Third-Party Risk Manager</x:v>
      </x:c>
      <x:c r="L112" s="14" t="str">
        <x:v>Not Assessed</x:v>
      </x:c>
      <x:c r="M112" s="14" t="str">
        <x:v>High</x:v>
      </x:c>
      <x:c r="N112" s="14" t="str">
        <x:v>https://eur-lex.europa.eu/eli/reg_del/2024/1773/oj/eng</x:v>
      </x:c>
      <x:c r="O112" s="14" t="str"/>
    </x:row>
    <x:row r="113">
      <x:c r="A113" s="14" t="str">
        <x:v>DORA-TPR-008</x:v>
      </x:c>
      <x:c r="B113" s="14" t="str">
        <x:v>09 ICT Third-Party Risk &amp; Contracts</x:v>
      </x:c>
      <x:c r="C113" s="14" t="str">
        <x:v>DORA minimum contractual provisions</x:v>
      </x:c>
      <x:c r="D113" s="14" t="str">
        <x:v>Ensure ICT third-party contracts include required DORA contractual provisions.</x:v>
      </x:c>
      <x:c r="E113" s="14" t="str">
        <x:v>Add contract clause checklist and gap analysis for each ICT provider contract.</x:v>
      </x:c>
      <x:c r="F113" s="14" t="str">
        <x:v>DORA_FULL; THIRD_PARTY</x:v>
      </x:c>
      <x:c r="G113" s="14" t="str">
        <x:v>Art. 30</x:v>
      </x:c>
      <x:c r="H113" s="14" t="str">
        <x:v>RTS 2024/1773</x:v>
      </x:c>
      <x:c r="I113" s="14" t="str">
        <x:v>Contract; clause checklist; legal review; gap remediation</x:v>
      </x:c>
      <x:c r="J113" s="14" t="str">
        <x:v>Before contract + renewal</x:v>
      </x:c>
      <x:c r="K113" s="14" t="str">
        <x:v>Legal / Procurement / TPRM</x:v>
      </x:c>
      <x:c r="L113" s="14" t="str">
        <x:v>Not Assessed</x:v>
      </x:c>
      <x:c r="M113" s="14" t="str">
        <x:v>High</x:v>
      </x:c>
      <x:c r="N113" s="14" t="str">
        <x:v>https://eur-lex.europa.eu/eli/reg/2022/2554/oj/eng</x:v>
      </x:c>
      <x:c r="O113" s="14" t="str"/>
    </x:row>
    <x:row r="114">
      <x:c r="A114" s="14" t="str">
        <x:v>DORA-TPR-009</x:v>
      </x:c>
      <x:c r="B114" s="14" t="str">
        <x:v>09 ICT Third-Party Risk &amp; Contracts</x:v>
      </x:c>
      <x:c r="C114" s="14" t="str">
        <x:v>Access, audit and inspection rights</x:v>
      </x:c>
      <x:c r="D114" s="14" t="str">
        <x:v>Include and exercise access, audit and inspection rights over ICT third-party providers as required.</x:v>
      </x:c>
      <x:c r="E114" s="14" t="str">
        <x:v>Track audit rights, audit calendar, reports and provider cooperation.</x:v>
      </x:c>
      <x:c r="F114" s="14" t="str">
        <x:v>DORA_FULL; THIRD_PARTY; CRITICAL_IMPORTANT_FUNCTION</x:v>
      </x:c>
      <x:c r="G114" s="14" t="str">
        <x:v>Art. 30</x:v>
      </x:c>
      <x:c r="H114" s="14" t="str">
        <x:v>RTS 2024/1773</x:v>
      </x:c>
      <x:c r="I114" s="14" t="str">
        <x:v>Contract clauses; audit reports; onsite/remote audit evidence</x:v>
      </x:c>
      <x:c r="J114" s="14" t="str">
        <x:v>Annual / risk-based</x:v>
      </x:c>
      <x:c r="K114" s="14" t="str">
        <x:v>Legal / TPRM / Internal Audit</x:v>
      </x:c>
      <x:c r="L114" s="14" t="str">
        <x:v>Not Assessed</x:v>
      </x:c>
      <x:c r="M114" s="14" t="str">
        <x:v>High</x:v>
      </x:c>
      <x:c r="N114" s="14" t="str">
        <x:v>https://eur-lex.europa.eu/eli/reg_del/2024/1773/oj/eng</x:v>
      </x:c>
      <x:c r="O114" s="14" t="str"/>
    </x:row>
    <x:row r="115">
      <x:c r="A115" s="14" t="str">
        <x:v>DORA-TPR-010</x:v>
      </x:c>
      <x:c r="B115" s="14" t="str">
        <x:v>09 ICT Third-Party Risk &amp; Contracts</x:v>
      </x:c>
      <x:c r="C115" s="14" t="str">
        <x:v>Service levels and provider monitoring</x:v>
      </x:c>
      <x:c r="D115" s="14" t="str">
        <x:v>Define and monitor service levels, performance and resilience requirements in ICT contracts.</x:v>
      </x:c>
      <x:c r="E115" s="14" t="str">
        <x:v>Add SLA/KPI monitoring and link breaches to supplier risk and incident workflow.</x:v>
      </x:c>
      <x:c r="F115" s="14" t="str">
        <x:v>DORA_FULL; THIRD_PARTY</x:v>
      </x:c>
      <x:c r="G115" s="14" t="str">
        <x:v>Art. 30</x:v>
      </x:c>
      <x:c r="H115" s="14" t="str">
        <x:v>RTS 2024/1773</x:v>
      </x:c>
      <x:c r="I115" s="14" t="str">
        <x:v>SLAs; service reports; breach logs; review minutes</x:v>
      </x:c>
      <x:c r="J115" s="14" t="str">
        <x:v>Monthly / quarterly</x:v>
      </x:c>
      <x:c r="K115" s="14" t="str">
        <x:v>Vendor Manager</x:v>
      </x:c>
      <x:c r="L115" s="14" t="str">
        <x:v>Not Assessed</x:v>
      </x:c>
      <x:c r="M115" s="14" t="str">
        <x:v>High</x:v>
      </x:c>
      <x:c r="N115" s="14" t="str">
        <x:v>https://eur-lex.europa.eu/eli/reg/2022/2554/oj/eng</x:v>
      </x:c>
      <x:c r="O115" s="14" t="str"/>
    </x:row>
    <x:row r="116">
      <x:c r="A116" s="14" t="str">
        <x:v>DORA-TPR-011</x:v>
      </x:c>
      <x:c r="B116" s="14" t="str">
        <x:v>09 ICT Third-Party Risk &amp; Contracts</x:v>
      </x:c>
      <x:c r="C116" s="14" t="str">
        <x:v>Provider incident notification obligations</x:v>
      </x:c>
      <x:c r="D116" s="14" t="str">
        <x:v>Ensure providers notify the financial entity of ICT incidents affecting services.</x:v>
      </x:c>
      <x:c r="E116" s="14" t="str">
        <x:v>Track contract notification clauses and vendor incident integration workflow.</x:v>
      </x:c>
      <x:c r="F116" s="14" t="str">
        <x:v>DORA_FULL; THIRD_PARTY</x:v>
      </x:c>
      <x:c r="G116" s="14" t="str">
        <x:v>Art. 30; Art. 17; Art. 19</x:v>
      </x:c>
      <x:c r="H116" s="14" t="str">
        <x:v>RTS 2024/1773; ITS 2025/302</x:v>
      </x:c>
      <x:c r="I116" s="14" t="str">
        <x:v>Incident notification clause; provider incident reports; escalation logs</x:v>
      </x:c>
      <x:c r="J116" s="14" t="str">
        <x:v>Per incident</x:v>
      </x:c>
      <x:c r="K116" s="14" t="str">
        <x:v>Vendor Manager / Incident Manager</x:v>
      </x:c>
      <x:c r="L116" s="14" t="str">
        <x:v>Not Assessed</x:v>
      </x:c>
      <x:c r="M116" s="14" t="str">
        <x:v>High</x:v>
      </x:c>
      <x:c r="N116" s="14" t="str">
        <x:v>https://eur-lex.europa.eu/eli/reg_del/2024/1773/oj/eng</x:v>
      </x:c>
      <x:c r="O116" s="14" t="str"/>
    </x:row>
    <x:row r="117">
      <x:c r="A117" s="14" t="str">
        <x:v>DORA-TPR-012</x:v>
      </x:c>
      <x:c r="B117" s="14" t="str">
        <x:v>09 ICT Third-Party Risk &amp; Contracts</x:v>
      </x:c>
      <x:c r="C117" s="14" t="str">
        <x:v>Data location, protection, return and deletion clauses</x:v>
      </x:c>
      <x:c r="D117" s="14" t="str">
        <x:v>Address data protection, location, access, return and deletion in ICT third-party contracts.</x:v>
      </x:c>
      <x:c r="E117" s="14" t="str">
        <x:v>Capture data location, processing, return/deletion and exit requirements per contract.</x:v>
      </x:c>
      <x:c r="F117" s="14" t="str">
        <x:v>DORA_FULL; THIRD_PARTY</x:v>
      </x:c>
      <x:c r="G117" s="14" t="str">
        <x:v>Art. 30</x:v>
      </x:c>
      <x:c r="H117" s="14" t="str">
        <x:v>RTS 2024/1773</x:v>
      </x:c>
      <x:c r="I117" s="14" t="str">
        <x:v>Contract clauses; data processing terms; exit/deletion evidence</x:v>
      </x:c>
      <x:c r="J117" s="14" t="str">
        <x:v>Before contract + review</x:v>
      </x:c>
      <x:c r="K117" s="14" t="str">
        <x:v>Legal / Data Protection Officer</x:v>
      </x:c>
      <x:c r="L117" s="14" t="str">
        <x:v>Not Assessed</x:v>
      </x:c>
      <x:c r="M117" s="14" t="str">
        <x:v>High</x:v>
      </x:c>
      <x:c r="N117" s="14" t="str">
        <x:v>https://eur-lex.europa.eu/eli/reg_del/2024/1773/oj/eng</x:v>
      </x:c>
      <x:c r="O117" s="14" t="str"/>
    </x:row>
    <x:row r="118">
      <x:c r="A118" s="14" t="str">
        <x:v>DORA-TPR-013</x:v>
      </x:c>
      <x:c r="B118" s="14" t="str">
        <x:v>09 ICT Third-Party Risk &amp; Contracts</x:v>
      </x:c>
      <x:c r="C118" s="14" t="str">
        <x:v>Exit strategy for critical or important ICT services</x:v>
      </x:c>
      <x:c r="D118" s="14" t="str">
        <x:v>Maintain exit strategies for ICT services supporting critical or important functions.</x:v>
      </x:c>
      <x:c r="E118" s="14" t="str">
        <x:v>Add exit plan, triggers, alternative provider options and exit test evidence.</x:v>
      </x:c>
      <x:c r="F118" s="14" t="str">
        <x:v>DORA_FULL; THIRD_PARTY; CRITICAL_IMPORTANT_FUNCTION</x:v>
      </x:c>
      <x:c r="G118" s="14" t="str">
        <x:v>Art. 28; Art. 30</x:v>
      </x:c>
      <x:c r="H118" s="14" t="str">
        <x:v>RTS 2024/1773</x:v>
      </x:c>
      <x:c r="I118" s="14" t="str">
        <x:v>Exit plan; transition plan; alternative arrangements; exit test report</x:v>
      </x:c>
      <x:c r="J118" s="14" t="str">
        <x:v>Annual + before contract</x:v>
      </x:c>
      <x:c r="K118" s="14" t="str">
        <x:v>Vendor Manager / BCM</x:v>
      </x:c>
      <x:c r="L118" s="14" t="str">
        <x:v>Not Assessed</x:v>
      </x:c>
      <x:c r="M118" s="14" t="str">
        <x:v>High</x:v>
      </x:c>
      <x:c r="N118" s="14" t="str">
        <x:v>https://eur-lex.europa.eu/eli/reg_del/2024/1773/oj/eng</x:v>
      </x:c>
      <x:c r="O118" s="14" t="str"/>
    </x:row>
    <x:row r="119">
      <x:c r="A119" s="14" t="str">
        <x:v>DORA-TPR-014</x:v>
      </x:c>
      <x:c r="B119" s="14" t="str">
        <x:v>09 ICT Third-Party Risk &amp; Contracts</x:v>
      </x:c>
      <x:c r="C119" s="14" t="str">
        <x:v>Termination rights</x:v>
      </x:c>
      <x:c r="D119" s="14" t="str">
        <x:v>Ensure contracts include termination rights for material circumstances and supervisory concerns.</x:v>
      </x:c>
      <x:c r="E119" s="14" t="str">
        <x:v>Add clause mapping and renewal/termination decision workflow.</x:v>
      </x:c>
      <x:c r="F119" s="14" t="str">
        <x:v>DORA_FULL; THIRD_PARTY</x:v>
      </x:c>
      <x:c r="G119" s="14" t="str">
        <x:v>Art. 28; Art. 30</x:v>
      </x:c>
      <x:c r="H119" s="14" t="str">
        <x:v>RTS 2024/1773</x:v>
      </x:c>
      <x:c r="I119" s="14" t="str">
        <x:v>Termination clause; legal assessment; exit triggers</x:v>
      </x:c>
      <x:c r="J119" s="14" t="str">
        <x:v>Before contract + renewal</x:v>
      </x:c>
      <x:c r="K119" s="14" t="str">
        <x:v>Legal / Procurement</x:v>
      </x:c>
      <x:c r="L119" s="14" t="str">
        <x:v>Not Assessed</x:v>
      </x:c>
      <x:c r="M119" s="14" t="str">
        <x:v>High</x:v>
      </x:c>
      <x:c r="N119" s="14" t="str">
        <x:v>https://eur-lex.europa.eu/eli/reg/2022/2554/oj/eng</x:v>
      </x:c>
      <x:c r="O119" s="14" t="str"/>
    </x:row>
    <x:row r="120">
      <x:c r="A120" s="14" t="str">
        <x:v>DORA-TPR-015</x:v>
      </x:c>
      <x:c r="B120" s="14" t="str">
        <x:v>09 ICT Third-Party Risk &amp; Contracts</x:v>
      </x:c>
      <x:c r="C120" s="14" t="str">
        <x:v>Ongoing provider risk monitoring</x:v>
      </x:c>
      <x:c r="D120" s="14" t="str">
        <x:v>Continuously monitor ICT third-party risk throughout the contract lifecycle.</x:v>
      </x:c>
      <x:c r="E120" s="14" t="str">
        <x:v>Maintain vendor risk score, due diligence renewals, SLA performance, incidents and findings.</x:v>
      </x:c>
      <x:c r="F120" s="14" t="str">
        <x:v>DORA_FULL; THIRD_PARTY</x:v>
      </x:c>
      <x:c r="G120" s="14" t="str">
        <x:v>Art. 28</x:v>
      </x:c>
      <x:c r="H120" s="14" t="str">
        <x:v>RTS 2024/1773</x:v>
      </x:c>
      <x:c r="I120" s="14" t="str">
        <x:v>Vendor reviews; risk scorecards; incident/SLA logs; review minutes</x:v>
      </x:c>
      <x:c r="J120" s="14" t="str">
        <x:v>Quarterly / annual</x:v>
      </x:c>
      <x:c r="K120" s="14" t="str">
        <x:v>Third-Party Risk Manager</x:v>
      </x:c>
      <x:c r="L120" s="14" t="str">
        <x:v>Not Assessed</x:v>
      </x:c>
      <x:c r="M120" s="14" t="str">
        <x:v>High</x:v>
      </x:c>
      <x:c r="N120" s="14" t="str">
        <x:v>https://eur-lex.europa.eu/eli/reg_del/2024/1773/oj/eng</x:v>
      </x:c>
      <x:c r="O120" s="14" t="str"/>
    </x:row>
    <x:row r="121">
      <x:c r="A121" s="14" t="str">
        <x:v>DORA-TPR-016</x:v>
      </x:c>
      <x:c r="B121" s="14" t="str">
        <x:v>09 ICT Third-Party Risk &amp; Contracts</x:v>
      </x:c>
      <x:c r="C121" s="14" t="str">
        <x:v>Material provider/contract changes</x:v>
      </x:c>
      <x:c r="D121" s="14" t="str">
        <x:v>Assess material changes affecting ICT third-party services or provider risk.</x:v>
      </x:c>
      <x:c r="E121" s="14" t="str">
        <x:v>Trigger risk reassessment and approvals from contract/service change records.</x:v>
      </x:c>
      <x:c r="F121" s="14" t="str">
        <x:v>DORA_FULL; THIRD_PARTY</x:v>
      </x:c>
      <x:c r="G121" s="14" t="str">
        <x:v>Art. 28; Art. 30</x:v>
      </x:c>
      <x:c r="H121" s="14" t="str">
        <x:v>RTS 2024/1773; RTS 2025/532</x:v>
      </x:c>
      <x:c r="I121" s="14" t="str">
        <x:v>Change notifications; risk reassessment; approvals</x:v>
      </x:c>
      <x:c r="J121" s="14" t="str">
        <x:v>Per material change</x:v>
      </x:c>
      <x:c r="K121" s="14" t="str">
        <x:v>Third-Party Risk Manager</x:v>
      </x:c>
      <x:c r="L121" s="14" t="str">
        <x:v>Not Assessed</x:v>
      </x:c>
      <x:c r="M121" s="14" t="str">
        <x:v>High</x:v>
      </x:c>
      <x:c r="N121" s="14" t="str">
        <x:v>https://eur-lex.europa.eu/eli/reg_del/2025/532/oj/eng</x:v>
      </x:c>
      <x:c r="O121" s="14" t="str"/>
    </x:row>
    <x:row r="122">
      <x:c r="A122" s="14" t="str">
        <x:v>DORA-TPR-017</x:v>
      </x:c>
      <x:c r="B122" s="14" t="str">
        <x:v>09 ICT Third-Party Risk &amp; Contracts</x:v>
      </x:c>
      <x:c r="C122" s="14" t="str">
        <x:v>Subcontracting chain identification</x:v>
      </x:c>
      <x:c r="D122" s="14" t="str">
        <x:v>Identify and assess subcontractors supporting ICT services for critical or important functions.</x:v>
      </x:c>
      <x:c r="E122" s="14" t="str">
        <x:v>Capture subcontractor chain, location, service, materiality and risk details.</x:v>
      </x:c>
      <x:c r="F122" s="14" t="str">
        <x:v>DORA_FULL; THIRD_PARTY; CRITICAL_IMPORTANT_FUNCTION</x:v>
      </x:c>
      <x:c r="G122" s="14" t="str">
        <x:v>Art. 30</x:v>
      </x:c>
      <x:c r="H122" s="14" t="str">
        <x:v>RTS 2025/532; ITS 2024/2956</x:v>
      </x:c>
      <x:c r="I122" s="14" t="str">
        <x:v>Subcontractor list; subcontracting assessment; RoI records</x:v>
      </x:c>
      <x:c r="J122" s="14" t="str">
        <x:v>Before contract + change</x:v>
      </x:c>
      <x:c r="K122" s="14" t="str">
        <x:v>Third-Party Risk Manager</x:v>
      </x:c>
      <x:c r="L122" s="14" t="str">
        <x:v>Not Assessed</x:v>
      </x:c>
      <x:c r="M122" s="14" t="str">
        <x:v>High</x:v>
      </x:c>
      <x:c r="N122" s="14" t="str">
        <x:v>https://eur-lex.europa.eu/eli/reg_del/2025/532/oj/eng</x:v>
      </x:c>
      <x:c r="O122" s="14" t="str"/>
    </x:row>
    <x:row r="123">
      <x:c r="A123" s="14" t="str">
        <x:v>DORA-TPR-018</x:v>
      </x:c>
      <x:c r="B123" s="14" t="str">
        <x:v>09 ICT Third-Party Risk &amp; Contracts</x:v>
      </x:c>
      <x:c r="C123" s="14" t="str">
        <x:v>Subcontractor material change notification</x:v>
      </x:c>
      <x:c r="D123" s="14" t="str">
        <x:v>Ensure providers notify material changes to subcontracting arrangements in time for assessment.</x:v>
      </x:c>
      <x:c r="E123" s="14" t="str">
        <x:v>Track subcontractor change notifications and require impact/risk review.</x:v>
      </x:c>
      <x:c r="F123" s="14" t="str">
        <x:v>DORA_FULL; THIRD_PARTY; CRITICAL_IMPORTANT_FUNCTION</x:v>
      </x:c>
      <x:c r="G123" s="14" t="str">
        <x:v>Art. 30</x:v>
      </x:c>
      <x:c r="H123" s="14" t="str">
        <x:v>RTS 2025/532</x:v>
      </x:c>
      <x:c r="I123" s="14" t="str">
        <x:v>Notification records; impact assessment; approval/objection records</x:v>
      </x:c>
      <x:c r="J123" s="14" t="str">
        <x:v>Per change</x:v>
      </x:c>
      <x:c r="K123" s="14" t="str">
        <x:v>Vendor Manager / Legal</x:v>
      </x:c>
      <x:c r="L123" s="14" t="str">
        <x:v>Not Assessed</x:v>
      </x:c>
      <x:c r="M123" s="14" t="str">
        <x:v>High</x:v>
      </x:c>
      <x:c r="N123" s="14" t="str">
        <x:v>https://eur-lex.europa.eu/eli/reg_del/2025/532/oj/eng</x:v>
      </x:c>
      <x:c r="O123" s="14" t="str"/>
    </x:row>
    <x:row r="124">
      <x:c r="A124" s="14" t="str">
        <x:v>DORA-TPR-019</x:v>
      </x:c>
      <x:c r="B124" s="14" t="str">
        <x:v>09 ICT Third-Party Risk &amp; Contracts</x:v>
      </x:c>
      <x:c r="C124" s="14" t="str">
        <x:v>Provider assurance and audits</x:v>
      </x:c>
      <x:c r="D124" s="14" t="str">
        <x:v>Obtain and review assurance over providers supporting critical or important functions.</x:v>
      </x:c>
      <x:c r="E124" s="14" t="str">
        <x:v>Track audit reports, SOC/ISO evidence, onsite assessments and remediation follow-up.</x:v>
      </x:c>
      <x:c r="F124" s="14" t="str">
        <x:v>DORA_FULL; THIRD_PARTY</x:v>
      </x:c>
      <x:c r="G124" s="14" t="str">
        <x:v>Art. 28; Art. 30</x:v>
      </x:c>
      <x:c r="H124" s="14" t="str">
        <x:v>RTS 2024/1773</x:v>
      </x:c>
      <x:c r="I124" s="14" t="str">
        <x:v>SOC/ISO reports; audit reports; provider remediation evidence</x:v>
      </x:c>
      <x:c r="J124" s="14" t="str">
        <x:v>Annual / risk-based</x:v>
      </x:c>
      <x:c r="K124" s="14" t="str">
        <x:v>Third-Party Risk / Internal Audit</x:v>
      </x:c>
      <x:c r="L124" s="14" t="str">
        <x:v>Not Assessed</x:v>
      </x:c>
      <x:c r="M124" s="14" t="str">
        <x:v>High</x:v>
      </x:c>
      <x:c r="N124" s="14" t="str">
        <x:v>https://eur-lex.europa.eu/eli/reg_del/2024/1773/oj/eng</x:v>
      </x:c>
      <x:c r="O124" s="14" t="str"/>
    </x:row>
    <x:row r="125">
      <x:c r="A125" s="14" t="str">
        <x:v>DORA-TPR-020</x:v>
      </x:c>
      <x:c r="B125" s="14" t="str">
        <x:v>09 ICT Third-Party Risk &amp; Contracts</x:v>
      </x:c>
      <x:c r="C125" s="14" t="str">
        <x:v>Intragroup ICT service oversight</x:v>
      </x:c>
      <x:c r="D125" s="14" t="str">
        <x:v>Manage intragroup ICT service providers with equivalent risk management and documentation discipline.</x:v>
      </x:c>
      <x:c r="E125" s="14" t="str">
        <x:v>Allow providers to be internal group entities and apply DORA TPRM controls proportionately.</x:v>
      </x:c>
      <x:c r="F125" s="14" t="str">
        <x:v>DORA_FULL; THIRD_PARTY; INTRAGROUP</x:v>
      </x:c>
      <x:c r="G125" s="14" t="str">
        <x:v>Art. 28; Art. 30</x:v>
      </x:c>
      <x:c r="H125" s="14" t="str">
        <x:v>RTS 2024/1773</x:v>
      </x:c>
      <x:c r="I125" s="14" t="str">
        <x:v>Intragroup service agreements; risk assessments; monitoring reports</x:v>
      </x:c>
      <x:c r="J125" s="14" t="str">
        <x:v>Annual</x:v>
      </x:c>
      <x:c r="K125" s="14" t="str">
        <x:v>Group IT / TPRM</x:v>
      </x:c>
      <x:c r="L125" s="14" t="str">
        <x:v>Not Assessed</x:v>
      </x:c>
      <x:c r="M125" s="14" t="str">
        <x:v>High</x:v>
      </x:c>
      <x:c r="N125" s="14" t="str">
        <x:v>https://eur-lex.europa.eu/eli/reg_del/2024/1773/oj/eng</x:v>
      </x:c>
      <x:c r="O125" s="14" t="str"/>
    </x:row>
    <x:row r="126">
      <x:c r="A126" s="14" t="str">
        <x:v>DORA-TPR-021</x:v>
      </x:c>
      <x:c r="B126" s="14" t="str">
        <x:v>09 ICT Third-Party Risk &amp; Contracts</x:v>
      </x:c>
      <x:c r="C126" s="14" t="str">
        <x:v>Cloud and hosting resilience controls</x:v>
      </x:c>
      <x:c r="D126" s="14" t="str">
        <x:v>Assess cloud/hosting arrangements for concentration, exit, data location, resilience and subcontracting risk.</x:v>
      </x:c>
      <x:c r="E126" s="14" t="str">
        <x:v>Add cloud-specific due diligence fields and concentration dashboard.</x:v>
      </x:c>
      <x:c r="F126" s="14" t="str">
        <x:v>DORA_FULL; THIRD_PARTY; CLOUD</x:v>
      </x:c>
      <x:c r="G126" s="14" t="str">
        <x:v>Art. 28; Art. 29; Art. 30</x:v>
      </x:c>
      <x:c r="H126" s="14" t="str">
        <x:v>RTS 2024/1773; RTS 2025/532; ITS 2024/2956</x:v>
      </x:c>
      <x:c r="I126" s="14" t="str">
        <x:v>Cloud risk assessment; architecture; resilience reports; exit plan</x:v>
      </x:c>
      <x:c r="J126" s="14" t="str">
        <x:v>Annual + before contract</x:v>
      </x:c>
      <x:c r="K126" s="14" t="str">
        <x:v>Cloud Owner / TPRM</x:v>
      </x:c>
      <x:c r="L126" s="14" t="str">
        <x:v>Not Assessed</x:v>
      </x:c>
      <x:c r="M126" s="14" t="str">
        <x:v>High</x:v>
      </x:c>
      <x:c r="N126" s="14" t="str">
        <x:v>https://eur-lex.europa.eu/eli/reg_del/2024/1773/oj/eng</x:v>
      </x:c>
      <x:c r="O126" s="14" t="str"/>
    </x:row>
    <x:row r="127">
      <x:c r="A127" s="14" t="str">
        <x:v>DORA-TPR-022</x:v>
      </x:c>
      <x:c r="B127" s="14" t="str">
        <x:v>09 ICT Third-Party Risk &amp; Contracts</x:v>
      </x:c>
      <x:c r="C127" s="14" t="str">
        <x:v>Exit testing for critical third-party ICT services</x:v>
      </x:c>
      <x:c r="D127" s="14" t="str">
        <x:v>Test exit or transition arrangements for critical/important ICT third-party services where feasible.</x:v>
      </x:c>
      <x:c r="E127" s="14" t="str">
        <x:v>Schedule exit test or tabletop and record issues, dependencies and corrective actions.</x:v>
      </x:c>
      <x:c r="F127" s="14" t="str">
        <x:v>DORA_FULL; THIRD_PARTY; CRITICAL_IMPORTANT_FUNCTION</x:v>
      </x:c>
      <x:c r="G127" s="14" t="str">
        <x:v>Art. 28; Art. 30</x:v>
      </x:c>
      <x:c r="H127" s="14" t="str">
        <x:v>RTS 2024/1773</x:v>
      </x:c>
      <x:c r="I127" s="14" t="str">
        <x:v>Exit test reports; tabletop outcomes; corrective actions</x:v>
      </x:c>
      <x:c r="J127" s="14" t="str">
        <x:v>Annual / risk-based</x:v>
      </x:c>
      <x:c r="K127" s="14" t="str">
        <x:v>BCM / Vendor Manager</x:v>
      </x:c>
      <x:c r="L127" s="14" t="str">
        <x:v>Not Assessed</x:v>
      </x:c>
      <x:c r="M127" s="14" t="str">
        <x:v>High</x:v>
      </x:c>
      <x:c r="N127" s="14" t="str">
        <x:v>https://eur-lex.europa.eu/eli/reg_del/2024/1773/oj/eng</x:v>
      </x:c>
      <x:c r="O127" s="14" t="str"/>
    </x:row>
    <x:row r="128">
      <x:c r="A128" s="14" t="str">
        <x:v>DORA-ROI-001</x:v>
      </x:c>
      <x:c r="B128" s="14" t="str">
        <x:v>10 Register of Information</x:v>
      </x:c>
      <x:c r="C128" s="14" t="str">
        <x:v>Register of Information for ICT third-party contracts</x:v>
      </x:c>
      <x:c r="D128" s="14" t="str">
        <x:v>Maintain and update a register of information for all contractual arrangements with ICT third-party service providers.</x:v>
      </x:c>
      <x:c r="E128" s="14" t="str">
        <x:v>Create RoI module linked to supplier, contract, service, function, data and subcontractor records.</x:v>
      </x:c>
      <x:c r="F128" s="14" t="str">
        <x:v>DORA_FULL; DORA_SIMPLIFIED; THIRD_PARTY</x:v>
      </x:c>
      <x:c r="G128" s="14" t="str">
        <x:v>Art. 28(3)</x:v>
      </x:c>
      <x:c r="H128" s="14" t="str">
        <x:v>ITS 2024/2956</x:v>
      </x:c>
      <x:c r="I128" s="14" t="str">
        <x:v>Register of Information; contract inventory; supplier records</x:v>
      </x:c>
      <x:c r="J128" s="14" t="str">
        <x:v>Continuous</x:v>
      </x:c>
      <x:c r="K128" s="14" t="str">
        <x:v>Third-Party Risk Manager / Compliance</x:v>
      </x:c>
      <x:c r="L128" s="14" t="str">
        <x:v>Not Assessed</x:v>
      </x:c>
      <x:c r="M128" s="14" t="str">
        <x:v>High</x:v>
      </x:c>
      <x:c r="N128" s="14" t="str">
        <x:v>https://eur-lex.europa.eu/eli/reg_impl/2024/2956/oj/eng</x:v>
      </x:c>
      <x:c r="O128" s="14" t="str"/>
    </x:row>
    <x:row r="129">
      <x:c r="A129" s="14" t="str">
        <x:v>DORA-ROI-002</x:v>
      </x:c>
      <x:c r="B129" s="14" t="str">
        <x:v>10 Register of Information</x:v>
      </x:c>
      <x:c r="C129" s="14" t="str">
        <x:v>Entity, sub-consolidated and consolidated RoI levels</x:v>
      </x:c>
      <x:c r="D129" s="14" t="str">
        <x:v>Maintain RoI at entity level and, where relevant, sub-consolidated/consolidated levels.</x:v>
      </x:c>
      <x:c r="E129" s="14" t="str">
        <x:v>Support entity hierarchy and roll-up reporting for RoI submissions.</x:v>
      </x:c>
      <x:c r="F129" s="14" t="str">
        <x:v>DORA_FULL; THIRD_PARTY; GROUP</x:v>
      </x:c>
      <x:c r="G129" s="14" t="str">
        <x:v>Art. 28(3)</x:v>
      </x:c>
      <x:c r="H129" s="14" t="str">
        <x:v>ITS 2024/2956</x:v>
      </x:c>
      <x:c r="I129" s="14" t="str">
        <x:v>Entity RoI; group RoI; consolidation mapping</x:v>
      </x:c>
      <x:c r="J129" s="14" t="str">
        <x:v>Annual + change</x:v>
      </x:c>
      <x:c r="K129" s="14" t="str">
        <x:v>Compliance / Group Risk</x:v>
      </x:c>
      <x:c r="L129" s="14" t="str">
        <x:v>Not Assessed</x:v>
      </x:c>
      <x:c r="M129" s="14" t="str">
        <x:v>High</x:v>
      </x:c>
      <x:c r="N129" s="14" t="str">
        <x:v>https://eur-lex.europa.eu/eli/reg_impl/2024/2956/oj/eng</x:v>
      </x:c>
      <x:c r="O129" s="14" t="str"/>
    </x:row>
    <x:row r="130">
      <x:c r="A130" s="14" t="str">
        <x:v>DORA-ROI-003</x:v>
      </x:c>
      <x:c r="B130" s="14" t="str">
        <x:v>10 Register of Information</x:v>
      </x:c>
      <x:c r="C130" s="14" t="str">
        <x:v>RoI template alignment</x:v>
      </x:c>
      <x:c r="D130" s="14" t="str">
        <x:v>Align RoI content, structure and format to the EU standard templates.</x:v>
      </x:c>
      <x:c r="E130" s="14" t="str">
        <x:v>Implement data fields, validation rules and export aligned to Implementing Regulation 2024/2956.</x:v>
      </x:c>
      <x:c r="F130" s="14" t="str">
        <x:v>DORA_FULL; DORA_SIMPLIFIED; THIRD_PARTY</x:v>
      </x:c>
      <x:c r="G130" s="14" t="str">
        <x:v>Art. 28(9)</x:v>
      </x:c>
      <x:c r="H130" s="14" t="str">
        <x:v>ITS 2024/2956</x:v>
      </x:c>
      <x:c r="I130" s="14" t="str">
        <x:v>Template mapping; validation report; exported RoI</x:v>
      </x:c>
      <x:c r="J130" s="14" t="str">
        <x:v>Annual + on request</x:v>
      </x:c>
      <x:c r="K130" s="14" t="str">
        <x:v>Compliance / Data Owner</x:v>
      </x:c>
      <x:c r="L130" s="14" t="str">
        <x:v>Not Assessed</x:v>
      </x:c>
      <x:c r="M130" s="14" t="str">
        <x:v>High</x:v>
      </x:c>
      <x:c r="N130" s="14" t="str">
        <x:v>https://eur-lex.europa.eu/eli/reg_impl/2024/2956/oj/eng</x:v>
      </x:c>
      <x:c r="O130" s="14" t="str"/>
    </x:row>
    <x:row r="131">
      <x:c r="A131" s="14" t="str">
        <x:v>DORA-ROI-004</x:v>
      </x:c>
      <x:c r="B131" s="14" t="str">
        <x:v>10 Register of Information</x:v>
      </x:c>
      <x:c r="C131" s="14" t="str">
        <x:v>RoI ownership and update process</x:v>
      </x:c>
      <x:c r="D131" s="14" t="str">
        <x:v>Define ownership and procedures for maintaining complete and accurate RoI data.</x:v>
      </x:c>
      <x:c r="E131" s="14" t="str">
        <x:v>Assign field-level owners, update triggers, completeness checks and approvals.</x:v>
      </x:c>
      <x:c r="F131" s="14" t="str">
        <x:v>DORA_FULL; DORA_SIMPLIFIED; THIRD_PARTY</x:v>
      </x:c>
      <x:c r="G131" s="14" t="str">
        <x:v>Art. 28(3)</x:v>
      </x:c>
      <x:c r="H131" s="14" t="str">
        <x:v>ITS 2024/2956</x:v>
      </x:c>
      <x:c r="I131" s="14" t="str">
        <x:v>RoI procedure; ownership matrix; update logs; quality checks</x:v>
      </x:c>
      <x:c r="J131" s="14" t="str">
        <x:v>Quarterly</x:v>
      </x:c>
      <x:c r="K131" s="14" t="str">
        <x:v>Compliance / Vendor Manager</x:v>
      </x:c>
      <x:c r="L131" s="14" t="str">
        <x:v>Not Assessed</x:v>
      </x:c>
      <x:c r="M131" s="14" t="str">
        <x:v>High</x:v>
      </x:c>
      <x:c r="N131" s="14" t="str">
        <x:v>https://eur-lex.europa.eu/eli/reg_impl/2024/2956/oj/eng</x:v>
      </x:c>
      <x:c r="O131" s="14" t="str"/>
    </x:row>
    <x:row r="132">
      <x:c r="A132" s="14" t="str">
        <x:v>DORA-ROI-005</x:v>
      </x:c>
      <x:c r="B132" s="14" t="str">
        <x:v>10 Register of Information</x:v>
      </x:c>
      <x:c r="C132" s="14" t="str">
        <x:v>RoI supervisory submission readiness</x:v>
      </x:c>
      <x:c r="D132" s="14" t="str">
        <x:v>Ensure RoI can be submitted to competent authorities annually or upon request.</x:v>
      </x:c>
      <x:c r="E132" s="14" t="str">
        <x:v>Create export, validation and submission workflow with evidence of submission.</x:v>
      </x:c>
      <x:c r="F132" s="14" t="str">
        <x:v>DORA_FULL; DORA_SIMPLIFIED; THIRD_PARTY</x:v>
      </x:c>
      <x:c r="G132" s="14" t="str">
        <x:v>Art. 28(3); Art. 28(9)</x:v>
      </x:c>
      <x:c r="H132" s="14" t="str">
        <x:v>ITS 2024/2956</x:v>
      </x:c>
      <x:c r="I132" s="14" t="str">
        <x:v>Exported RoI; validation evidence; submission receipt</x:v>
      </x:c>
      <x:c r="J132" s="14" t="str">
        <x:v>Annual + on request</x:v>
      </x:c>
      <x:c r="K132" s="14" t="str">
        <x:v>Compliance</x:v>
      </x:c>
      <x:c r="L132" s="14" t="str">
        <x:v>Not Assessed</x:v>
      </x:c>
      <x:c r="M132" s="14" t="str">
        <x:v>High</x:v>
      </x:c>
      <x:c r="N132" s="14" t="str">
        <x:v>https://www.bankofgreece.gr/en/main-tasks/supervision/dora-digital-operational-resilience-act-for-the-financial-sector</x:v>
      </x:c>
      <x:c r="O132" s="14" t="str"/>
    </x:row>
    <x:row r="133">
      <x:c r="A133" s="14" t="str">
        <x:v>DORA-ROI-006</x:v>
      </x:c>
      <x:c r="B133" s="14" t="str">
        <x:v>10 Register of Information</x:v>
      </x:c>
      <x:c r="C133" s="14" t="str">
        <x:v>RoI data validation and completeness</x:v>
      </x:c>
      <x:c r="D133" s="14" t="str">
        <x:v>Validate RoI data completeness, consistency and format before submission.</x:v>
      </x:c>
      <x:c r="E133" s="14" t="str">
        <x:v>Implement validation rules for mandatory fields, duplicate relationships and invalid values.</x:v>
      </x:c>
      <x:c r="F133" s="14" t="str">
        <x:v>DORA_FULL; DORA_SIMPLIFIED; THIRD_PARTY</x:v>
      </x:c>
      <x:c r="G133" s="14" t="str">
        <x:v>Art. 28(9)</x:v>
      </x:c>
      <x:c r="H133" s="14" t="str">
        <x:v>ITS 2024/2956</x:v>
      </x:c>
      <x:c r="I133" s="14" t="str">
        <x:v>Validation report; data quality dashboard; remediation logs</x:v>
      </x:c>
      <x:c r="J133" s="14" t="str">
        <x:v>Quarterly + before submission</x:v>
      </x:c>
      <x:c r="K133" s="14" t="str">
        <x:v>Compliance / Data Quality Owner</x:v>
      </x:c>
      <x:c r="L133" s="14" t="str">
        <x:v>Not Assessed</x:v>
      </x:c>
      <x:c r="M133" s="14" t="str">
        <x:v>High</x:v>
      </x:c>
      <x:c r="N133" s="14" t="str">
        <x:v>https://eur-lex.europa.eu/eli/reg_impl/2024/2956/oj/eng</x:v>
      </x:c>
      <x:c r="O133" s="14" t="str"/>
    </x:row>
    <x:row r="134">
      <x:c r="A134" s="14" t="str">
        <x:v>DORA-ROI-007</x:v>
      </x:c>
      <x:c r="B134" s="14" t="str">
        <x:v>10 Register of Information</x:v>
      </x:c>
      <x:c r="C134" s="14" t="str">
        <x:v>RoI linkage to critical/important functions</x:v>
      </x:c>
      <x:c r="D134" s="14" t="str">
        <x:v>Link RoI records to the critical or important functions supported by each ICT service.</x:v>
      </x:c>
      <x:c r="E134" s="14" t="str">
        <x:v>Require function mapping for all critical/important service records.</x:v>
      </x:c>
      <x:c r="F134" s="14" t="str">
        <x:v>DORA_FULL; THIRD_PARTY; CRITICAL_IMPORTANT_FUNCTION</x:v>
      </x:c>
      <x:c r="G134" s="14" t="str">
        <x:v>Art. 28; Art. 30</x:v>
      </x:c>
      <x:c r="H134" s="14" t="str">
        <x:v>ITS 2024/2956</x:v>
      </x:c>
      <x:c r="I134" s="14" t="str">
        <x:v>RoI-function mappings; criticality classification; contract records</x:v>
      </x:c>
      <x:c r="J134" s="14" t="str">
        <x:v>Continuous</x:v>
      </x:c>
      <x:c r="K134" s="14" t="str">
        <x:v>Third-Party Risk Manager</x:v>
      </x:c>
      <x:c r="L134" s="14" t="str">
        <x:v>Not Assessed</x:v>
      </x:c>
      <x:c r="M134" s="14" t="str">
        <x:v>High</x:v>
      </x:c>
      <x:c r="N134" s="14" t="str">
        <x:v>https://eur-lex.europa.eu/eli/reg_impl/2024/2956/oj/eng</x:v>
      </x:c>
      <x:c r="O134" s="14" t="str"/>
    </x:row>
    <x:row r="135">
      <x:c r="A135" s="14" t="str">
        <x:v>DORA-ROI-008</x:v>
      </x:c>
      <x:c r="B135" s="14" t="str">
        <x:v>10 Register of Information</x:v>
      </x:c>
      <x:c r="C135" s="14" t="str">
        <x:v>RoI subcontractor chain data</x:v>
      </x:c>
      <x:c r="D135" s="14" t="str">
        <x:v>Capture subcontractor chain data required for ICT services and material subcontracting arrangements.</x:v>
      </x:c>
      <x:c r="E135" s="14" t="str">
        <x:v>Link subcontractors to provider, service, function, country and data location records.</x:v>
      </x:c>
      <x:c r="F135" s="14" t="str">
        <x:v>DORA_FULL; THIRD_PARTY; CRITICAL_IMPORTANT_FUNCTION</x:v>
      </x:c>
      <x:c r="G135" s="14" t="str">
        <x:v>Art. 28; Art. 30</x:v>
      </x:c>
      <x:c r="H135" s="14" t="str">
        <x:v>ITS 2024/2956; RTS 2025/532</x:v>
      </x:c>
      <x:c r="I135" s="14" t="str">
        <x:v>Subcontractor records; RoI entries; provider notifications</x:v>
      </x:c>
      <x:c r="J135" s="14" t="str">
        <x:v>Continuous</x:v>
      </x:c>
      <x:c r="K135" s="14" t="str">
        <x:v>Third-Party Risk Manager</x:v>
      </x:c>
      <x:c r="L135" s="14" t="str">
        <x:v>Not Assessed</x:v>
      </x:c>
      <x:c r="M135" s="14" t="str">
        <x:v>High</x:v>
      </x:c>
      <x:c r="N135" s="14" t="str">
        <x:v>https://eur-lex.europa.eu/eli/reg_del/2025/532/oj/eng</x:v>
      </x:c>
      <x:c r="O135" s="14" t="str"/>
    </x:row>
    <x:row r="136">
      <x:c r="A136" s="14" t="str">
        <x:v>DORA-IS-001</x:v>
      </x:c>
      <x:c r="B136" s="14" t="str">
        <x:v>11 Information Sharing</x:v>
      </x:c>
      <x:c r="C136" s="14" t="str">
        <x:v>Information-sharing arrangement policy</x:v>
      </x:c>
      <x:c r="D136" s="14" t="str">
        <x:v>Where the entity participates in cyber threat information-sharing arrangements, ensure they support resilience and comply with confidentiality and competition requirements.</x:v>
      </x:c>
      <x:c r="E136" s="14" t="str">
        <x:v>Enable optional information-sharing register with participants, scope, rules and approvals.</x:v>
      </x:c>
      <x:c r="F136" s="14" t="str">
        <x:v>OPTIONAL; DORA_FULL</x:v>
      </x:c>
      <x:c r="G136" s="14" t="str">
        <x:v>Art. 45</x:v>
      </x:c>
      <x:c r="H136" s="14" t="str">
        <x:v>N/A</x:v>
      </x:c>
      <x:c r="I136" s="14" t="str">
        <x:v>Information sharing policy; membership records; legal review</x:v>
      </x:c>
      <x:c r="J136" s="14" t="str">
        <x:v>Annual</x:v>
      </x:c>
      <x:c r="K136" s="14" t="str">
        <x:v>CISO / Legal</x:v>
      </x:c>
      <x:c r="L136" s="14" t="str">
        <x:v>Not Assessed</x:v>
      </x:c>
      <x:c r="M136" s="14" t="str">
        <x:v>High</x:v>
      </x:c>
      <x:c r="N136" s="14" t="str">
        <x:v>https://eur-lex.europa.eu/eli/reg/2022/2554/oj/eng</x:v>
      </x:c>
      <x:c r="O136" s="14" t="str"/>
    </x:row>
    <x:row r="137">
      <x:c r="A137" s="14" t="str">
        <x:v>DORA-IS-002</x:v>
      </x:c>
      <x:c r="B137" s="14" t="str">
        <x:v>11 Information Sharing</x:v>
      </x:c>
      <x:c r="C137" s="14" t="str">
        <x:v>Confidentiality and legal safeguards</x:v>
      </x:c>
      <x:c r="D137" s="14" t="str">
        <x:v>Maintain safeguards for sharing cyber threat information, including confidentiality, data protection and business secrecy.</x:v>
      </x:c>
      <x:c r="E137" s="14" t="str">
        <x:v>Add legal review and confidentiality controls for shared indicators/intelligence.</x:v>
      </x:c>
      <x:c r="F137" s="14" t="str">
        <x:v>OPTIONAL; DORA_FULL</x:v>
      </x:c>
      <x:c r="G137" s="14" t="str">
        <x:v>Art. 45</x:v>
      </x:c>
      <x:c r="H137" s="14" t="str">
        <x:v>N/A</x:v>
      </x:c>
      <x:c r="I137" s="14" t="str">
        <x:v>Legal assessment; NDA/terms; shared intelligence logs</x:v>
      </x:c>
      <x:c r="J137" s="14" t="str">
        <x:v>Per arrangement</x:v>
      </x:c>
      <x:c r="K137" s="14" t="str">
        <x:v>Legal / CISO</x:v>
      </x:c>
      <x:c r="L137" s="14" t="str">
        <x:v>Not Assessed</x:v>
      </x:c>
      <x:c r="M137" s="14" t="str">
        <x:v>High</x:v>
      </x:c>
      <x:c r="N137" s="14" t="str">
        <x:v>https://eur-lex.europa.eu/eli/reg/2022/2554/oj/eng</x:v>
      </x:c>
      <x:c r="O137" s="14" t="str"/>
    </x:row>
    <x:row r="138">
      <x:c r="A138" s="14" t="str">
        <x:v>DORA-IS-003</x:v>
      </x:c>
      <x:c r="B138" s="14" t="str">
        <x:v>11 Information Sharing</x:v>
      </x:c>
      <x:c r="C138" s="14" t="str">
        <x:v>Threat intelligence use from sharing arrangements</x:v>
      </x:c>
      <x:c r="D138" s="14" t="str">
        <x:v>Use relevant shared threat intelligence to update monitoring, controls, risk assessments and incident readiness.</x:v>
      </x:c>
      <x:c r="E138" s="14" t="str">
        <x:v>Link shared intelligence items to risks, detection rules, controls and incidents.</x:v>
      </x:c>
      <x:c r="F138" s="14" t="str">
        <x:v>OPTIONAL; DORA_FULL</x:v>
      </x:c>
      <x:c r="G138" s="14" t="str">
        <x:v>Art. 45; Art. 13</x:v>
      </x:c>
      <x:c r="H138" s="14" t="str">
        <x:v>RTS 2024/1774</x:v>
      </x:c>
      <x:c r="I138" s="14" t="str">
        <x:v>Threat intelligence logs; control updates; risk updates</x:v>
      </x:c>
      <x:c r="J138" s="14" t="str">
        <x:v>Monthly / event-driven</x:v>
      </x:c>
      <x:c r="K138" s="14" t="str">
        <x:v>Threat Intelligence / SOC</x:v>
      </x:c>
      <x:c r="L138" s="14" t="str">
        <x:v>Not Assessed</x:v>
      </x:c>
      <x:c r="M138" s="14" t="str">
        <x:v>High</x:v>
      </x:c>
      <x:c r="N138" s="14" t="str">
        <x:v>https://eur-lex.europa.eu/eli/reg_del/2024/1774/oj/eng</x:v>
      </x:c>
      <x:c r="O138" s="14" t="str"/>
    </x:row>
    <x:row r="139">
      <x:c r="A139" s="14" t="str">
        <x:v>DORA-SIM-001</x:v>
      </x:c>
      <x:c r="B139" s="14" t="str">
        <x:v>12 Simplified ICT RMF</x:v>
      </x:c>
      <x:c r="C139" s="14" t="str">
        <x:v>Simplified framework eligibility determination</x:v>
      </x:c>
      <x:c r="D139" s="14" t="str">
        <x:v>Determine whether the entity falls under the simplified ICT risk management framework.</x:v>
      </x:c>
      <x:c r="E139" s="14" t="str">
        <x:v>Add onboarding question and legal eligibility evidence for Article 16 profile.</x:v>
      </x:c>
      <x:c r="F139" s="14" t="str">
        <x:v>DORA_SIMPLIFIED; CONDITIONAL</x:v>
      </x:c>
      <x:c r="G139" s="14" t="str">
        <x:v>Art. 16(1)</x:v>
      </x:c>
      <x:c r="H139" s="14" t="str">
        <x:v>RTS 2024/1774 Title III</x:v>
      </x:c>
      <x:c r="I139" s="14" t="str">
        <x:v>Eligibility assessment; regulated entity profile; legal confirmation</x:v>
      </x:c>
      <x:c r="J139" s="14" t="str">
        <x:v>Annual + change</x:v>
      </x:c>
      <x:c r="K139" s="14" t="str">
        <x:v>Compliance</x:v>
      </x:c>
      <x:c r="L139" s="14" t="str">
        <x:v>Not Assessed</x:v>
      </x:c>
      <x:c r="M139" s="14" t="str">
        <x:v>High</x:v>
      </x:c>
      <x:c r="N139" s="14" t="str">
        <x:v>https://eur-lex.europa.eu/eli/reg_del/2024/1774/oj/eng</x:v>
      </x:c>
      <x:c r="O139" s="14" t="str"/>
    </x:row>
    <x:row r="140">
      <x:c r="A140" s="14" t="str">
        <x:v>DORA-SIM-002</x:v>
      </x:c>
      <x:c r="B140" s="14" t="str">
        <x:v>12 Simplified ICT RMF</x:v>
      </x:c>
      <x:c r="C140" s="14" t="str">
        <x:v>Simplified governance and organisation</x:v>
      </x:c>
      <x:c r="D140" s="14" t="str">
        <x:v>Maintain governance and control arrangements for effective ICT risk management under the simplified framework.</x:v>
      </x:c>
      <x:c r="E140" s="14" t="str">
        <x:v>Enable simplified governance controls and evidence requirements.</x:v>
      </x:c>
      <x:c r="F140" s="14" t="str">
        <x:v>DORA_SIMPLIFIED</x:v>
      </x:c>
      <x:c r="G140" s="14" t="str">
        <x:v>Art. 16</x:v>
      </x:c>
      <x:c r="H140" s="14" t="str">
        <x:v>RTS 2024/1774 Art. 28</x:v>
      </x:c>
      <x:c r="I140" s="14" t="str">
        <x:v>Simplified governance framework; audit plan; remediation records</x:v>
      </x:c>
      <x:c r="J140" s="14" t="str">
        <x:v>Annual</x:v>
      </x:c>
      <x:c r="K140" s="14" t="str">
        <x:v>CISO / Compliance</x:v>
      </x:c>
      <x:c r="L140" s="14" t="str">
        <x:v>Not Assessed</x:v>
      </x:c>
      <x:c r="M140" s="14" t="str">
        <x:v>High</x:v>
      </x:c>
      <x:c r="N140" s="14" t="str">
        <x:v>https://eur-lex.europa.eu/eli/reg_del/2024/1774/oj/eng</x:v>
      </x:c>
      <x:c r="O140" s="14" t="str"/>
    </x:row>
    <x:row r="141">
      <x:c r="A141" s="14" t="str">
        <x:v>DORA-SIM-003</x:v>
      </x:c>
      <x:c r="B141" s="14" t="str">
        <x:v>12 Simplified ICT RMF</x:v>
      </x:c>
      <x:c r="C141" s="14" t="str">
        <x:v>Simplified information security policy</x:v>
      </x:c>
      <x:c r="D141" s="14" t="str">
        <x:v>Develop and implement an information security policy protecting confidentiality, integrity, availability and authenticity.</x:v>
      </x:c>
      <x:c r="E141" s="14" t="str">
        <x:v>Load simplified policy evidence fields and core control mapping.</x:v>
      </x:c>
      <x:c r="F141" s="14" t="str">
        <x:v>DORA_SIMPLIFIED</x:v>
      </x:c>
      <x:c r="G141" s="14" t="str">
        <x:v>Art. 16</x:v>
      </x:c>
      <x:c r="H141" s="14" t="str">
        <x:v>RTS 2024/1774 Art. 29</x:v>
      </x:c>
      <x:c r="I141" s="14" t="str">
        <x:v>Information security policy; management approval; control mapping</x:v>
      </x:c>
      <x:c r="J141" s="14" t="str">
        <x:v>Annual</x:v>
      </x:c>
      <x:c r="K141" s="14" t="str">
        <x:v>CISO</x:v>
      </x:c>
      <x:c r="L141" s="14" t="str">
        <x:v>Not Assessed</x:v>
      </x:c>
      <x:c r="M141" s="14" t="str">
        <x:v>High</x:v>
      </x:c>
      <x:c r="N141" s="14" t="str">
        <x:v>https://eur-lex.europa.eu/eli/reg_del/2024/1774/oj/eng</x:v>
      </x:c>
      <x:c r="O141" s="14" t="str"/>
    </x:row>
    <x:row r="142">
      <x:c r="A142" s="14" t="str">
        <x:v>DORA-SIM-004</x:v>
      </x:c>
      <x:c r="B142" s="14" t="str">
        <x:v>12 Simplified ICT RMF</x:v>
      </x:c>
      <x:c r="C142" s="14" t="str">
        <x:v>Simplified classification of functions and assets</x:v>
      </x:c>
      <x:c r="D142" s="14" t="str">
        <x:v>Identify, classify and document critical or important functions, information assets, ICT assets and dependencies.</x:v>
      </x:c>
      <x:c r="E142" s="14" t="str">
        <x:v>Enable simplified asset/function inventory with third-party dependencies.</x:v>
      </x:c>
      <x:c r="F142" s="14" t="str">
        <x:v>DORA_SIMPLIFIED</x:v>
      </x:c>
      <x:c r="G142" s="14" t="str">
        <x:v>Art. 16</x:v>
      </x:c>
      <x:c r="H142" s="14" t="str">
        <x:v>RTS 2024/1774 Art. 30</x:v>
      </x:c>
      <x:c r="I142" s="14" t="str">
        <x:v>Asset and function inventory; classifications; dependency map</x:v>
      </x:c>
      <x:c r="J142" s="14" t="str">
        <x:v>Annual + change</x:v>
      </x:c>
      <x:c r="K142" s="14" t="str">
        <x:v>IT Operations / CISO</x:v>
      </x:c>
      <x:c r="L142" s="14" t="str">
        <x:v>Not Assessed</x:v>
      </x:c>
      <x:c r="M142" s="14" t="str">
        <x:v>High</x:v>
      </x:c>
      <x:c r="N142" s="14" t="str">
        <x:v>https://eur-lex.europa.eu/eli/reg_del/2024/1774/oj/eng</x:v>
      </x:c>
      <x:c r="O142" s="14" t="str"/>
    </x:row>
    <x:row r="143">
      <x:c r="A143" s="14" t="str">
        <x:v>DORA-SIM-005</x:v>
      </x:c>
      <x:c r="B143" s="14" t="str">
        <x:v>12 Simplified ICT RMF</x:v>
      </x:c>
      <x:c r="C143" s="14" t="str">
        <x:v>Simplified ICT risk management process</x:v>
      </x:c>
      <x:c r="D143" s="14" t="str">
        <x:v>Determine ICT risk tolerance, identify/assess ICT risks, define mitigation and monitor effectiveness.</x:v>
      </x:c>
      <x:c r="E143" s="14" t="str">
        <x:v>Use simplified risk register with tolerance, risk assessment and mitigation fields.</x:v>
      </x:c>
      <x:c r="F143" s="14" t="str">
        <x:v>DORA_SIMPLIFIED</x:v>
      </x:c>
      <x:c r="G143" s="14" t="str">
        <x:v>Art. 16</x:v>
      </x:c>
      <x:c r="H143" s="14" t="str">
        <x:v>RTS 2024/1774 Art. 31</x:v>
      </x:c>
      <x:c r="I143" s="14" t="str">
        <x:v>Simplified risk register; risk tolerance; mitigation plans</x:v>
      </x:c>
      <x:c r="J143" s="14" t="str">
        <x:v>Annual / risk-based</x:v>
      </x:c>
      <x:c r="K143" s="14" t="str">
        <x:v>Risk Manager</x:v>
      </x:c>
      <x:c r="L143" s="14" t="str">
        <x:v>Not Assessed</x:v>
      </x:c>
      <x:c r="M143" s="14" t="str">
        <x:v>High</x:v>
      </x:c>
      <x:c r="N143" s="14" t="str">
        <x:v>https://eur-lex.europa.eu/eli/reg_del/2024/1774/oj/eng</x:v>
      </x:c>
      <x:c r="O143" s="14" t="str"/>
    </x:row>
    <x:row r="144">
      <x:c r="A144" s="14" t="str">
        <x:v>DORA-SIM-006</x:v>
      </x:c>
      <x:c r="B144" s="14" t="str">
        <x:v>12 Simplified ICT RMF</x:v>
      </x:c>
      <x:c r="C144" s="14" t="str">
        <x:v>Simplified threat, vulnerability and alert thresholds</x:v>
      </x:c>
      <x:c r="D144" s="14" t="str">
        <x:v>Monitor threats/vulnerabilities and set alert thresholds for incident response.</x:v>
      </x:c>
      <x:c r="E144" s="14" t="str">
        <x:v>Add simplified threat/vulnerability review and incident trigger rules.</x:v>
      </x:c>
      <x:c r="F144" s="14" t="str">
        <x:v>DORA_SIMPLIFIED</x:v>
      </x:c>
      <x:c r="G144" s="14" t="str">
        <x:v>Art. 16</x:v>
      </x:c>
      <x:c r="H144" s="14" t="str">
        <x:v>RTS 2024/1774 Art. 31</x:v>
      </x:c>
      <x:c r="I144" s="14" t="str">
        <x:v>Threat/vulnerability records; alert thresholds; incident criteria</x:v>
      </x:c>
      <x:c r="J144" s="14" t="str">
        <x:v>Quarterly</x:v>
      </x:c>
      <x:c r="K144" s="14" t="str">
        <x:v>CISO / IT Security</x:v>
      </x:c>
      <x:c r="L144" s="14" t="str">
        <x:v>Not Assessed</x:v>
      </x:c>
      <x:c r="M144" s="14" t="str">
        <x:v>High</x:v>
      </x:c>
      <x:c r="N144" s="14" t="str">
        <x:v>https://eur-lex.europa.eu/eli/reg_del/2024/1774/oj/eng</x:v>
      </x:c>
      <x:c r="O144" s="14" t="str"/>
    </x:row>
    <x:row r="145">
      <x:c r="A145" s="14" t="str">
        <x:v>DORA-SIM-007</x:v>
      </x:c>
      <x:c r="B145" s="14" t="str">
        <x:v>12 Simplified ICT RMF</x:v>
      </x:c>
      <x:c r="C145" s="14" t="str">
        <x:v>Simplified physical and environmental security</x:v>
      </x:c>
      <x:c r="D145" s="14" t="str">
        <x:v>Implement physical and environmental security measures proportionate to risk and asset criticality.</x:v>
      </x:c>
      <x:c r="E145" s="14" t="str">
        <x:v>Enable core facilities/data centre evidence collection.</x:v>
      </x:c>
      <x:c r="F145" s="14" t="str">
        <x:v>DORA_SIMPLIFIED</x:v>
      </x:c>
      <x:c r="G145" s="14" t="str">
        <x:v>Art. 16</x:v>
      </x:c>
      <x:c r="H145" s="14" t="str">
        <x:v>RTS 2024/1774 Art. 32</x:v>
      </x:c>
      <x:c r="I145" s="14" t="str">
        <x:v>Access logs; facility controls; data centre attestations</x:v>
      </x:c>
      <x:c r="J145" s="14" t="str">
        <x:v>Annual</x:v>
      </x:c>
      <x:c r="K145" s="14" t="str">
        <x:v>Facilities / IT Operations</x:v>
      </x:c>
      <x:c r="L145" s="14" t="str">
        <x:v>Not Assessed</x:v>
      </x:c>
      <x:c r="M145" s="14" t="str">
        <x:v>High</x:v>
      </x:c>
      <x:c r="N145" s="14" t="str">
        <x:v>https://eur-lex.europa.eu/eli/reg_del/2024/1774/oj/eng</x:v>
      </x:c>
      <x:c r="O145" s="14" t="str"/>
    </x:row>
    <x:row r="146">
      <x:c r="A146" s="14" t="str">
        <x:v>DORA-SIM-008</x:v>
      </x:c>
      <x:c r="B146" s="14" t="str">
        <x:v>12 Simplified ICT RMF</x:v>
      </x:c>
      <x:c r="C146" s="14" t="str">
        <x:v>Simplified access control</x:v>
      </x:c>
      <x:c r="D146" s="14" t="str">
        <x:v>Develop and maintain access control measures for users, administrators and systems.</x:v>
      </x:c>
      <x:c r="E146" s="14" t="str">
        <x:v>Load simplified IAM controls for provisioning, MFA, privileged access and review.</x:v>
      </x:c>
      <x:c r="F146" s="14" t="str">
        <x:v>DORA_SIMPLIFIED</x:v>
      </x:c>
      <x:c r="G146" s="14" t="str">
        <x:v>Art. 16</x:v>
      </x:c>
      <x:c r="H146" s="14" t="str">
        <x:v>RTS 2024/1774 Art. 33</x:v>
      </x:c>
      <x:c r="I146" s="14" t="str">
        <x:v>Access control policy; access reviews; MFA evidence</x:v>
      </x:c>
      <x:c r="J146" s="14" t="str">
        <x:v>Quarterly</x:v>
      </x:c>
      <x:c r="K146" s="14" t="str">
        <x:v>IAM Owner</x:v>
      </x:c>
      <x:c r="L146" s="14" t="str">
        <x:v>Not Assessed</x:v>
      </x:c>
      <x:c r="M146" s="14" t="str">
        <x:v>High</x:v>
      </x:c>
      <x:c r="N146" s="14" t="str">
        <x:v>https://eur-lex.europa.eu/eli/reg_del/2024/1774/oj/eng</x:v>
      </x:c>
      <x:c r="O146" s="14" t="str"/>
    </x:row>
    <x:row r="147">
      <x:c r="A147" s="14" t="str">
        <x:v>DORA-SIM-009</x:v>
      </x:c>
      <x:c r="B147" s="14" t="str">
        <x:v>12 Simplified ICT RMF</x:v>
      </x:c>
      <x:c r="C147" s="14" t="str">
        <x:v>Simplified ICT operations security</x:v>
      </x:c>
      <x:c r="D147" s="14" t="str">
        <x:v>Maintain ICT operations security controls to minimise ICT risk impact.</x:v>
      </x:c>
      <x:c r="E147" s="14" t="str">
        <x:v>Track core operational security runbooks, monitoring and capacity controls.</x:v>
      </x:c>
      <x:c r="F147" s="14" t="str">
        <x:v>DORA_SIMPLIFIED</x:v>
      </x:c>
      <x:c r="G147" s="14" t="str">
        <x:v>Art. 16</x:v>
      </x:c>
      <x:c r="H147" s="14" t="str">
        <x:v>RTS 2024/1774 Art. 34</x:v>
      </x:c>
      <x:c r="I147" s="14" t="str">
        <x:v>Operations procedures; monitoring evidence; capacity reports</x:v>
      </x:c>
      <x:c r="J147" s="14" t="str">
        <x:v>Quarterly</x:v>
      </x:c>
      <x:c r="K147" s="14" t="str">
        <x:v>IT Operations</x:v>
      </x:c>
      <x:c r="L147" s="14" t="str">
        <x:v>Not Assessed</x:v>
      </x:c>
      <x:c r="M147" s="14" t="str">
        <x:v>High</x:v>
      </x:c>
      <x:c r="N147" s="14" t="str">
        <x:v>https://eur-lex.europa.eu/eli/reg_del/2024/1774/oj/eng</x:v>
      </x:c>
      <x:c r="O147" s="14" t="str"/>
    </x:row>
    <x:row r="148">
      <x:c r="A148" s="14" t="str">
        <x:v>DORA-SIM-010</x:v>
      </x:c>
      <x:c r="B148" s="14" t="str">
        <x:v>12 Simplified ICT RMF</x:v>
      </x:c>
      <x:c r="C148" s="14" t="str">
        <x:v>Simplified data, system and network security</x:v>
      </x:c>
      <x:c r="D148" s="14" t="str">
        <x:v>Protect data, systems and networks through proportionate technical controls.</x:v>
      </x:c>
      <x:c r="E148" s="14" t="str">
        <x:v>Enable simplified evidence for network, endpoint, encryption and data security controls.</x:v>
      </x:c>
      <x:c r="F148" s="14" t="str">
        <x:v>DORA_SIMPLIFIED</x:v>
      </x:c>
      <x:c r="G148" s="14" t="str">
        <x:v>Art. 16</x:v>
      </x:c>
      <x:c r="H148" s="14" t="str">
        <x:v>RTS 2024/1774 Art. 35</x:v>
      </x:c>
      <x:c r="I148" s="14" t="str">
        <x:v>Network controls; endpoint reports; encryption evidence</x:v>
      </x:c>
      <x:c r="J148" s="14" t="str">
        <x:v>Quarterly</x:v>
      </x:c>
      <x:c r="K148" s="14" t="str">
        <x:v>IT Security</x:v>
      </x:c>
      <x:c r="L148" s="14" t="str">
        <x:v>Not Assessed</x:v>
      </x:c>
      <x:c r="M148" s="14" t="str">
        <x:v>High</x:v>
      </x:c>
      <x:c r="N148" s="14" t="str">
        <x:v>https://eur-lex.europa.eu/eli/reg_del/2024/1774/oj/eng</x:v>
      </x:c>
      <x:c r="O148" s="14" t="str"/>
    </x:row>
    <x:row r="149">
      <x:c r="A149" s="14" t="str">
        <x:v>DORA-SIM-011</x:v>
      </x:c>
      <x:c r="B149" s="14" t="str">
        <x:v>12 Simplified ICT RMF</x:v>
      </x:c>
      <x:c r="C149" s="14" t="str">
        <x:v>Simplified ICT security testing</x:v>
      </x:c>
      <x:c r="D149" s="14" t="str">
        <x:v>Perform ICT security testing proportionate to the ICT risk profile.</x:v>
      </x:c>
      <x:c r="E149" s="14" t="str">
        <x:v>Schedule simplified testing activities and track findings/remediation.</x:v>
      </x:c>
      <x:c r="F149" s="14" t="str">
        <x:v>DORA_SIMPLIFIED</x:v>
      </x:c>
      <x:c r="G149" s="14" t="str">
        <x:v>Art. 16</x:v>
      </x:c>
      <x:c r="H149" s="14" t="str">
        <x:v>RTS 2024/1774 Art. 36</x:v>
      </x:c>
      <x:c r="I149" s="14" t="str">
        <x:v>Test reports; vulnerability scans; remediation evidence</x:v>
      </x:c>
      <x:c r="J149" s="14" t="str">
        <x:v>Annual / risk-based</x:v>
      </x:c>
      <x:c r="K149" s="14" t="str">
        <x:v>CISO / Testing Manager</x:v>
      </x:c>
      <x:c r="L149" s="14" t="str">
        <x:v>Not Assessed</x:v>
      </x:c>
      <x:c r="M149" s="14" t="str">
        <x:v>High</x:v>
      </x:c>
      <x:c r="N149" s="14" t="str">
        <x:v>https://eur-lex.europa.eu/eli/reg_del/2024/1774/oj/eng</x:v>
      </x:c>
      <x:c r="O149" s="14" t="str"/>
    </x:row>
    <x:row r="150">
      <x:c r="A150" s="14" t="str">
        <x:v>DORA-SIM-012</x:v>
      </x:c>
      <x:c r="B150" s="14" t="str">
        <x:v>12 Simplified ICT RMF</x:v>
      </x:c>
      <x:c r="C150" s="14" t="str">
        <x:v>Simplified acquisition, development and maintenance</x:v>
      </x:c>
      <x:c r="D150" s="14" t="str">
        <x:v>Apply security controls to ICT system acquisition, development and maintenance.</x:v>
      </x:c>
      <x:c r="E150" s="14" t="str">
        <x:v>Track simplified secure change, procurement and development evidence.</x:v>
      </x:c>
      <x:c r="F150" s="14" t="str">
        <x:v>DORA_SIMPLIFIED</x:v>
      </x:c>
      <x:c r="G150" s="14" t="str">
        <x:v>Art. 16</x:v>
      </x:c>
      <x:c r="H150" s="14" t="str">
        <x:v>RTS 2024/1774 Art. 37</x:v>
      </x:c>
      <x:c r="I150" s="14" t="str">
        <x:v>Security requirements; change tickets; test evidence</x:v>
      </x:c>
      <x:c r="J150" s="14" t="str">
        <x:v>Per project/change</x:v>
      </x:c>
      <x:c r="K150" s="14" t="str">
        <x:v>Application Owner</x:v>
      </x:c>
      <x:c r="L150" s="14" t="str">
        <x:v>Not Assessed</x:v>
      </x:c>
      <x:c r="M150" s="14" t="str">
        <x:v>High</x:v>
      </x:c>
      <x:c r="N150" s="14" t="str">
        <x:v>https://eur-lex.europa.eu/eli/reg_del/2024/1774/oj/eng</x:v>
      </x:c>
      <x:c r="O150" s="14" t="str"/>
    </x:row>
    <x:row r="151">
      <x:c r="A151" s="14" t="str">
        <x:v>DORA-SIM-013</x:v>
      </x:c>
      <x:c r="B151" s="14" t="str">
        <x:v>12 Simplified ICT RMF</x:v>
      </x:c>
      <x:c r="C151" s="14" t="str">
        <x:v>Simplified ICT project and change management</x:v>
      </x:c>
      <x:c r="D151" s="14" t="str">
        <x:v>Manage ICT projects and changes with appropriate risk and security assessment.</x:v>
      </x:c>
      <x:c r="E151" s="14" t="str">
        <x:v>Enable simplified project/change risk gate and approval evidence.</x:v>
      </x:c>
      <x:c r="F151" s="14" t="str">
        <x:v>DORA_SIMPLIFIED</x:v>
      </x:c>
      <x:c r="G151" s="14" t="str">
        <x:v>Art. 16</x:v>
      </x:c>
      <x:c r="H151" s="14" t="str">
        <x:v>RTS 2024/1774 Art. 38</x:v>
      </x:c>
      <x:c r="I151" s="14" t="str">
        <x:v>Project risk assessments; change approvals; implementation records</x:v>
      </x:c>
      <x:c r="J151" s="14" t="str">
        <x:v>Per project/change</x:v>
      </x:c>
      <x:c r="K151" s="14" t="str">
        <x:v>Project Manager / Change Manager</x:v>
      </x:c>
      <x:c r="L151" s="14" t="str">
        <x:v>Not Assessed</x:v>
      </x:c>
      <x:c r="M151" s="14" t="str">
        <x:v>High</x:v>
      </x:c>
      <x:c r="N151" s="14" t="str">
        <x:v>https://eur-lex.europa.eu/eli/reg_del/2024/1774/oj/eng</x:v>
      </x:c>
      <x:c r="O151" s="14" t="str"/>
    </x:row>
    <x:row r="152">
      <x:c r="A152" s="14" t="str">
        <x:v>DORA-SIM-014</x:v>
      </x:c>
      <x:c r="B152" s="14" t="str">
        <x:v>12 Simplified ICT RMF</x:v>
      </x:c>
      <x:c r="C152" s="14" t="str">
        <x:v>Simplified business continuity planning</x:v>
      </x:c>
      <x:c r="D152" s="14" t="str">
        <x:v>Maintain ICT business continuity plans and test them proportionately.</x:v>
      </x:c>
      <x:c r="E152" s="14" t="str">
        <x:v>Enable simplified BCP plan, test schedule and remediation tracking.</x:v>
      </x:c>
      <x:c r="F152" s="14" t="str">
        <x:v>DORA_SIMPLIFIED</x:v>
      </x:c>
      <x:c r="G152" s="14" t="str">
        <x:v>Art. 16</x:v>
      </x:c>
      <x:c r="H152" s="14" t="str">
        <x:v>RTS 2024/1774 Art. 39-40</x:v>
      </x:c>
      <x:c r="I152" s="14" t="str">
        <x:v>BCP; test reports; remediation actions</x:v>
      </x:c>
      <x:c r="J152" s="14" t="str">
        <x:v>Annual</x:v>
      </x:c>
      <x:c r="K152" s="14" t="str">
        <x:v>BCM Manager</x:v>
      </x:c>
      <x:c r="L152" s="14" t="str">
        <x:v>Not Assessed</x:v>
      </x:c>
      <x:c r="M152" s="14" t="str">
        <x:v>High</x:v>
      </x:c>
      <x:c r="N152" s="14" t="str">
        <x:v>https://eur-lex.europa.eu/eli/reg_del/2024/1774/oj/eng</x:v>
      </x:c>
      <x:c r="O152" s="14" t="str"/>
    </x:row>
    <x:row r="153">
      <x:c r="A153" s="14" t="str">
        <x:v>DORA-SIM-015</x:v>
      </x:c>
      <x:c r="B153" s="14" t="str">
        <x:v>12 Simplified ICT RMF</x:v>
      </x:c>
      <x:c r="C153" s="14" t="str">
        <x:v>Simplified RMF review report</x:v>
      </x:c>
      <x:c r="D153" s="14" t="str">
        <x:v>Review the simplified ICT risk management framework and document outcomes.</x:v>
      </x:c>
      <x:c r="E153" s="14" t="str">
        <x:v>Generate a simplified RMF review report with gaps, remediation and approvals.</x:v>
      </x:c>
      <x:c r="F153" s="14" t="str">
        <x:v>DORA_SIMPLIFIED</x:v>
      </x:c>
      <x:c r="G153" s="14" t="str">
        <x:v>Art. 16</x:v>
      </x:c>
      <x:c r="H153" s="14" t="str">
        <x:v>RTS 2024/1774 Art. 41</x:v>
      </x:c>
      <x:c r="I153" s="14" t="str">
        <x:v>Simplified RMF review report; action plan; approvals</x:v>
      </x:c>
      <x:c r="J153" s="14" t="str">
        <x:v>Annual</x:v>
      </x:c>
      <x:c r="K153" s="14" t="str">
        <x:v>Compliance / CISO</x:v>
      </x:c>
      <x:c r="L153" s="14" t="str">
        <x:v>Not Assessed</x:v>
      </x:c>
      <x:c r="M153" s="14" t="str">
        <x:v>High</x:v>
      </x:c>
      <x:c r="N153" s="14" t="str">
        <x:v>https://eur-lex.europa.eu/eli/reg_del/2024/1774/oj/eng</x:v>
      </x:c>
      <x:c r="O153" s="14" t="str"/>
    </x:row>
    <x:row r="154">
      <x:c r="A154" s="14" t="str">
        <x:v>DORA-CTPP-001</x:v>
      </x:c>
      <x:c r="B154" s="14" t="str">
        <x:v>13 ICT Provider / CTPP Readiness</x:v>
      </x:c>
      <x:c r="C154" s="14" t="str">
        <x:v>ICT provider DORA customer contract readiness</x:v>
      </x:c>
      <x:c r="D154" s="14" t="str">
        <x:v>For ICT service providers serving DORA financial entities, maintain contract and assurance readiness for customer DORA obligations.</x:v>
      </x:c>
      <x:c r="E154" s="14" t="str">
        <x:v>Enable provider-side profile with customer evidence pack, DORA clause support and incident notification capability.</x:v>
      </x:c>
      <x:c r="F154" s="14" t="str">
        <x:v>ICT_TPP; PROVIDER_SIDE; OPTIONAL</x:v>
      </x:c>
      <x:c r="G154" s="14" t="str">
        <x:v>Art. 28; Art. 30</x:v>
      </x:c>
      <x:c r="H154" s="14" t="str">
        <x:v>RTS 2024/1773; RTS 2025/532; ITS 2024/2956</x:v>
      </x:c>
      <x:c r="I154" s="14" t="str">
        <x:v>Customer DORA pack; template clauses; assurance reports</x:v>
      </x:c>
      <x:c r="J154" s="14" t="str">
        <x:v>Annual / customer request</x:v>
      </x:c>
      <x:c r="K154" s="14" t="str">
        <x:v>Provider Compliance / Legal</x:v>
      </x:c>
      <x:c r="L154" s="14" t="str">
        <x:v>Not Assessed</x:v>
      </x:c>
      <x:c r="M154" s="14" t="str">
        <x:v>High</x:v>
      </x:c>
      <x:c r="N154" s="14" t="str">
        <x:v>https://eur-lex.europa.eu/eli/reg_del/2024/1773/oj/eng</x:v>
      </x:c>
      <x:c r="O154" s="14" t="str"/>
    </x:row>
    <x:row r="155">
      <x:c r="A155" s="14" t="str">
        <x:v>DORA-CTPP-002</x:v>
      </x:c>
      <x:c r="B155" s="14" t="str">
        <x:v>13 ICT Provider / CTPP Readiness</x:v>
      </x:c>
      <x:c r="C155" s="14" t="str">
        <x:v>Critical ICT third-party provider designation monitoring</x:v>
      </x:c>
      <x:c r="D155" s="14" t="str">
        <x:v>For ICT third-party providers, monitor whether they are designated as critical ICT third-party service providers.</x:v>
      </x:c>
      <x:c r="E155" s="14" t="str">
        <x:v>Add CTPP designation status and oversight obligations tracker.</x:v>
      </x:c>
      <x:c r="F155" s="14" t="str">
        <x:v>ICT_TPP; CTPP; CONDITIONAL</x:v>
      </x:c>
      <x:c r="G155" s="14" t="str">
        <x:v>Art. 31-44</x:v>
      </x:c>
      <x:c r="H155" s="14" t="str">
        <x:v>Delegated Regulations on CTPP oversight</x:v>
      </x:c>
      <x:c r="I155" s="14" t="str">
        <x:v>Designation notice; oversight correspondence; compliance plan</x:v>
      </x:c>
      <x:c r="J155" s="14" t="str">
        <x:v>Annual / event-driven</x:v>
      </x:c>
      <x:c r="K155" s="14" t="str">
        <x:v>Provider Compliance</x:v>
      </x:c>
      <x:c r="L155" s="14" t="str">
        <x:v>Not Assessed</x:v>
      </x:c>
      <x:c r="M155" s="14" t="str">
        <x:v>High</x:v>
      </x:c>
      <x:c r="N155" s="14" t="str">
        <x:v>https://www.eiopa.europa.eu/digital-operational-resilience-act-dora_en</x:v>
      </x:c>
      <x:c r="O155" s="14" t="str"/>
    </x:row>
    <x:row r="156">
      <x:c r="A156" s="14" t="str">
        <x:v>DORA-CTPP-003</x:v>
      </x:c>
      <x:c r="B156" s="14" t="str">
        <x:v>13 ICT Provider / CTPP Readiness</x:v>
      </x:c>
      <x:c r="C156" s="14" t="str">
        <x:v>Lead overseer cooperation readiness</x:v>
      </x:c>
      <x:c r="D156" s="14" t="str">
        <x:v>If designated critical, support oversight requests, inspections and information submissions.</x:v>
      </x:c>
      <x:c r="E156" s="14" t="str">
        <x:v>Create oversight request register and evidence workflow for CTPP profile.</x:v>
      </x:c>
      <x:c r="F156" s="14" t="str">
        <x:v>ICT_TPP; CTPP; CONDITIONAL</x:v>
      </x:c>
      <x:c r="G156" s="14" t="str">
        <x:v>Art. 31-44</x:v>
      </x:c>
      <x:c r="H156" s="14" t="str">
        <x:v>RTS 2025/295; RTS 2025/420; Delegated Regulation 2024/1505</x:v>
      </x:c>
      <x:c r="I156" s="14" t="str">
        <x:v>Oversight request log; submitted evidence; audit/inspection records</x:v>
      </x:c>
      <x:c r="J156" s="14" t="str">
        <x:v>On request</x:v>
      </x:c>
      <x:c r="K156" s="14" t="str">
        <x:v>Provider Compliance / CISO</x:v>
      </x:c>
      <x:c r="L156" s="14" t="str">
        <x:v>Not Assessed</x:v>
      </x:c>
      <x:c r="M156" s="14" t="str">
        <x:v>High</x:v>
      </x:c>
      <x:c r="N156" s="14" t="str">
        <x:v>https://www.eiopa.europa.eu/digital-operational-resilience-act-dora_en</x:v>
      </x:c>
      <x:c r="O156" s="14" t="str"/>
    </x:row>
  </x:sheetData>
  <x:conditionalFormatting sqref="M2:M156">
    <x:cfRule type="expression" dxfId="0" priority="1">
      <x:formula>M2="Critical"</x:formula>
    </x:cfRule>
  </x:conditionalFormatting>
  <x:conditionalFormatting sqref="L2:L156">
    <x:cfRule type="expression" dxfId="1" priority="2">
      <x:formula>L2="Implemented"</x:formula>
    </x:cfRule>
    <x:cfRule type="expression" dxfId="2" priority="3">
      <x:formula>L2="Partially Implemented"</x:formula>
    </x:cfRule>
    <x:cfRule type="expression" dxfId="3" priority="4">
      <x:formula>L2="Not Applicable"</x:formula>
    </x:cfRule>
  </x:conditionalFormatting>
  <x:dataValidations count="2">
    <x:dataValidation type="list" sqref="L2:L156">
      <x:formula1>Lists!$A$2:$A$5</x:formula1>
    </x:dataValidation>
    <x:dataValidation type="list" sqref="M2:M156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036a0e4154b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0" hidden="0" customWidth="1"/>
    <x:col min="4" max="4" width="58" hidden="0" customWidth="1"/>
    <x:col min="5" max="5" width="34" hidden="0" customWidth="1"/>
  </x:cols>
  <x:sheetData>
    <x:row r="1">
      <x:c r="A1" s="6" t="str">
        <x:v>Platform_Field</x:v>
      </x:c>
      <x:c r="B1" s="6" t="str">
        <x:v>Purpose</x:v>
      </x:c>
      <x:c r="C1" s="6" t="str">
        <x:v>Question / Rule</x:v>
      </x:c>
      <x:c r="D1" s="6" t="str">
        <x:v>Recommended Logic</x:v>
      </x:c>
      <x:c r="E1" s="6" t="str">
        <x:v>Feature / Controls Enabled</x:v>
      </x:c>
    </x:row>
    <x:row r="2">
      <x:c r="A2" s="12" t="str">
        <x:v>DORA_ENABLED</x:v>
      </x:c>
      <x:c r="B2" s="12" t="str">
        <x:v>Main switch</x:v>
      </x:c>
      <x:c r="C2" s="12" t="str">
        <x:v>Is the organisation an in-scope DORA financial entity or a designated/affected ICT third-party provider?</x:v>
      </x:c>
      <x:c r="D2" s="12" t="str">
        <x:v>TRUE only when DORA scope is confirmed. Keep DORA controls inactive when FALSE.</x:v>
      </x:c>
      <x:c r="E2" s="12" t="str">
        <x:v>DORA module visible</x:v>
      </x:c>
    </x:row>
    <x:row r="3">
      <x:c r="A3" s="12" t="str">
        <x:v>ENTITY_TYPE</x:v>
      </x:c>
      <x:c r="B3" s="12" t="str">
        <x:v>Scope</x:v>
      </x:c>
      <x:c r="C3" s="12" t="str">
        <x:v>Organisation type under DORA Article 2</x:v>
      </x:c>
      <x:c r="D3" s="12" t="str">
        <x:v>Enable DORA when entity type is in the financial entity list or provider profile is selected.</x:v>
      </x:c>
      <x:c r="E3" s="12" t="str">
        <x:v>DORA_FULL or provider-side controls</x:v>
      </x:c>
    </x:row>
    <x:row r="4">
      <x:c r="A4" s="12" t="str">
        <x:v>EU_EEA_REGULATED</x:v>
      </x:c>
      <x:c r="B4" s="12" t="str">
        <x:v>Jurisdiction</x:v>
      </x:c>
      <x:c r="C4" s="12" t="str">
        <x:v>Is the entity regulated in the EU/EEA financial sector?</x:v>
      </x:c>
      <x:c r="D4" s="12" t="str">
        <x:v>Usually TRUE for financial entities operating under EU financial services law. Validate with legal/compliance.</x:v>
      </x:c>
      <x:c r="E4" s="12" t="str">
        <x:v>DORA scope check</x:v>
      </x:c>
    </x:row>
    <x:row r="5">
      <x:c r="A5" s="12" t="str">
        <x:v>DORA_EXCLUSION</x:v>
      </x:c>
      <x:c r="B5" s="12" t="str">
        <x:v>Exemption</x:v>
      </x:c>
      <x:c r="C5" s="12" t="str">
        <x:v>Does an Article 2 exclusion apply?</x:v>
      </x:c>
      <x:c r="D5" s="12" t="str">
        <x:v>If TRUE, keep DORA controls disabled unless national/supervisory instruction says otherwise.</x:v>
      </x:c>
      <x:c r="E5" s="12" t="str">
        <x:v>Disable DORA_FULL</x:v>
      </x:c>
    </x:row>
    <x:row r="6">
      <x:c r="A6" s="12" t="str">
        <x:v>SIMPLIFIED_FRAMEWORK</x:v>
      </x:c>
      <x:c r="B6" s="12" t="str">
        <x:v>Proportionality</x:v>
      </x:c>
      <x:c r="C6" s="12" t="str">
        <x:v>Is the entity in an Article 16 simplified category?</x:v>
      </x:c>
      <x:c r="D6" s="12" t="str">
        <x:v>If TRUE, assign DORA_SIMPLIFIED controls instead of the full Article 5-15 ICT RMF controls.</x:v>
      </x:c>
      <x:c r="E6" s="12" t="str">
        <x:v>DORA_SIMPLIFIED</x:v>
      </x:c>
    </x:row>
    <x:row r="7">
      <x:c r="A7" s="12" t="str">
        <x:v>MICROENTERPRISE</x:v>
      </x:c>
      <x:c r="B7" s="12" t="str">
        <x:v>Proportionality</x:v>
      </x:c>
      <x:c r="C7" s="12" t="str">
        <x:v>Is the entity a DORA microenterprise?</x:v>
      </x:c>
      <x:c r="D7" s="12" t="str">
        <x:v>Use proportionality flags and hide controls clearly not applicable to microenterprises; still keep relevant incident/third-party duties if applicable.</x:v>
      </x:c>
      <x:c r="E7" s="12" t="str">
        <x:v>MICROENTERPRISE tuning</x:v>
      </x:c>
    </x:row>
    <x:row r="8">
      <x:c r="A8" s="12" t="str">
        <x:v>CIF_PRESENT</x:v>
      </x:c>
      <x:c r="B8" s="12" t="str">
        <x:v>Criticality</x:v>
      </x:c>
      <x:c r="C8" s="12" t="str">
        <x:v>Does the entity have critical or important functions?</x:v>
      </x:c>
      <x:c r="D8" s="12" t="str">
        <x:v>Most mature assessments should require CIF mapping. Use CIF status to trigger third-party, testing, BCP and RoI depth.</x:v>
      </x:c>
      <x:c r="E8" s="12" t="str">
        <x:v>CIF-linked controls</x:v>
      </x:c>
    </x:row>
    <x:row r="9">
      <x:c r="A9" s="12" t="str">
        <x:v>TPR_SERVICES_USED</x:v>
      </x:c>
      <x:c r="B9" s="12" t="str">
        <x:v>Third party</x:v>
      </x:c>
      <x:c r="C9" s="12" t="str">
        <x:v>Does the entity use ICT third-party service providers?</x:v>
      </x:c>
      <x:c r="D9" s="12" t="str">
        <x:v>If TRUE, enable ICT third-party risk, contract and Register of Information controls.</x:v>
      </x:c>
      <x:c r="E9" s="12" t="str">
        <x:v>THIRD_PARTY; ROI</x:v>
      </x:c>
    </x:row>
    <x:row r="10">
      <x:c r="A10" s="12" t="str">
        <x:v>CIF_TP_SERVICES</x:v>
      </x:c>
      <x:c r="B10" s="12" t="str">
        <x:v>Critical third party</x:v>
      </x:c>
      <x:c r="C10" s="12" t="str">
        <x:v>Are ICT services supporting critical or important functions provided by third parties?</x:v>
      </x:c>
      <x:c r="D10" s="12" t="str">
        <x:v>If TRUE, enable stronger pre-contract, contract, audit, exit and subcontracting controls.</x:v>
      </x:c>
      <x:c r="E10" s="12" t="str">
        <x:v>CRITICAL_IMPORTANT_FUNCTION</x:v>
      </x:c>
    </x:row>
    <x:row r="11">
      <x:c r="A11" s="12" t="str">
        <x:v>TLPT_SELECTED</x:v>
      </x:c>
      <x:c r="B11" s="12" t="str">
        <x:v>Advanced testing</x:v>
      </x:c>
      <x:c r="C11" s="12" t="str">
        <x:v>Has the competent/TLPT authority selected the entity for TLPT or does the entity meet TLPT criteria?</x:v>
      </x:c>
      <x:c r="D11" s="12" t="str">
        <x:v>If TRUE, enable DORA-TLPT controls and three-year cycle planning.</x:v>
      </x:c>
      <x:c r="E11" s="12" t="str">
        <x:v>TLPT_SELECTED</x:v>
      </x:c>
    </x:row>
    <x:row r="12">
      <x:c r="A12" s="12" t="str">
        <x:v>PAYMENT_RELATED_ENTITY</x:v>
      </x:c>
      <x:c r="B12" s="12" t="str">
        <x:v>Payment incidents</x:v>
      </x:c>
      <x:c r="C12" s="12" t="str">
        <x:v>Is the entity a credit institution, payment institution, account information service provider or e-money institution?</x:v>
      </x:c>
      <x:c r="D12" s="12" t="str">
        <x:v>If TRUE, enable payment-related incident control DORA-INC-015.</x:v>
      </x:c>
      <x:c r="E12" s="12" t="str">
        <x:v>PAYMENT_RELATED_ENTITY</x:v>
      </x:c>
    </x:row>
    <x:row r="13">
      <x:c r="A13" s="12" t="str">
        <x:v>INFORMATION_SHARING</x:v>
      </x:c>
      <x:c r="B13" s="12" t="str">
        <x:v>Optional</x:v>
      </x:c>
      <x:c r="C13" s="12" t="str">
        <x:v>Does the entity participate in cyber threat information-sharing arrangements?</x:v>
      </x:c>
      <x:c r="D13" s="12" t="str">
        <x:v>If TRUE, enable optional Article 45 controls.</x:v>
      </x:c>
      <x:c r="E13" s="12" t="str">
        <x:v>OPTIONAL information-sharing controls</x:v>
      </x:c>
    </x:row>
    <x:row r="14">
      <x:c r="A14" s="12" t="str">
        <x:v>ICT_TPP_PROFILE</x:v>
      </x:c>
      <x:c r="B14" s="12" t="str">
        <x:v>Provider side</x:v>
      </x:c>
      <x:c r="C14" s="12" t="str">
        <x:v>Is the organisation an ICT provider serving DORA financial entities?</x:v>
      </x:c>
      <x:c r="D14" s="12" t="str">
        <x:v>Enable provider-side contract readiness controls; do not imply full DORA financial-entity control assignment unless designated/legally in scope.</x:v>
      </x:c>
      <x:c r="E14" s="12" t="str">
        <x:v>ICT_TPP; PROVIDER_SIDE</x:v>
      </x:c>
    </x:row>
    <x:row r="15">
      <x:c r="A15" s="12" t="str">
        <x:v>CTPP_DESIGNATED</x:v>
      </x:c>
      <x:c r="B15" s="12" t="str">
        <x:v>Critical provider</x:v>
      </x:c>
      <x:c r="C15" s="12" t="str">
        <x:v>Has the ICT provider been designated as a critical ICT third-party service provider?</x:v>
      </x:c>
      <x:c r="D15" s="12" t="str">
        <x:v>If TRUE, enable CTPP oversight readiness controls.</x:v>
      </x:c>
      <x:c r="E15" s="12" t="str">
        <x:v>CTPP controls</x:v>
      </x:c>
    </x:row>
  </x:sheetData>
  <x:pageMargins left="0.7" right="0.7" top="0.75" bottom="0.75" header="0.3" footer="0.3"/>
  <x:tableParts count="1">
    <x:tablePart xmlns:r="http://schemas.openxmlformats.org/officeDocument/2006/relationships" r:id="R044fa92f9fe943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2" hidden="0" customWidth="1"/>
    <x:col min="3" max="3" width="72" hidden="0" customWidth="1"/>
  </x:cols>
  <x:sheetData>
    <x:row r="1">
      <x:c r="A1" s="6" t="str">
        <x:v>Reference</x:v>
      </x:c>
      <x:c r="B1" s="6" t="str">
        <x:v>Why it matters in the platform</x:v>
      </x:c>
      <x:c r="C1" s="6" t="str">
        <x:v>URL</x:v>
      </x:c>
    </x:row>
    <x:row r="2">
      <x:c r="A2" s="12" t="str">
        <x:v>Regulation (EU) 2022/2554 - DORA</x:v>
      </x:c>
      <x:c r="B2" s="12" t="str">
        <x:v>Core DORA obligations, scope, ICT risk, incident, testing, third-party risk and information sharing.</x:v>
      </x:c>
      <x:c r="C2" s="12" t="str">
        <x:v>https://eur-lex.europa.eu/eli/reg/2022/2554/oj/eng</x:v>
      </x:c>
    </x:row>
    <x:row r="3">
      <x:c r="A3" s="12" t="str">
        <x:v>EIOPA DORA overview and legal provisions</x:v>
      </x:c>
      <x:c r="B3" s="12" t="str">
        <x:v>Official ESA overview of DORA scope, pillars and Level 2 legal acts.</x:v>
      </x:c>
      <x:c r="C3" s="12" t="str">
        <x:v>https://www.eiopa.europa.eu/digital-operational-resilience-act-dora_en</x:v>
      </x:c>
    </x:row>
    <x:row r="4">
      <x:c r="A4" s="12" t="str">
        <x:v>Bank of Greece DORA page</x:v>
      </x:c>
      <x:c r="B4" s="12" t="str">
        <x:v>Greek competent authority page for supervised institutions, including incident reporting and RoI references.</x:v>
      </x:c>
      <x:c r="C4" s="12" t="str">
        <x:v>https://www.bankofgreece.gr/en/main-tasks/supervision/dora-digital-operational-resilience-act-for-the-financial-sector</x:v>
      </x:c>
    </x:row>
    <x:row r="5">
      <x:c r="A5" s="12" t="str">
        <x:v>RTS on ICT risk management and simplified ICT RMF - Regulation (EU) 2024/1774</x:v>
      </x:c>
      <x:c r="B5" s="12" t="str">
        <x:v>Detailed ICT risk management tools, methods, processes, policies and simplified framework.</x:v>
      </x:c>
      <x:c r="C5" s="12" t="str">
        <x:v>https://eur-lex.europa.eu/eli/reg_del/2024/1774/oj/eng</x:v>
      </x:c>
    </x:row>
    <x:row r="6">
      <x:c r="A6" s="12" t="str">
        <x:v>RTS on ICT incident classification - Regulation (EU) 2024/1772</x:v>
      </x:c>
      <x:c r="B6" s="12" t="str">
        <x:v>Criteria and thresholds for ICT-related incident and cyber threat classification.</x:v>
      </x:c>
      <x:c r="C6" s="12" t="str">
        <x:v>https://eur-lex.europa.eu/eli/reg_del/2024/1772/oj/eng</x:v>
      </x:c>
    </x:row>
    <x:row r="7">
      <x:c r="A7" s="12" t="str">
        <x:v>RTS on incident reporting content/time limits - Regulation (EU) 2025/301</x:v>
      </x:c>
      <x:c r="B7" s="12" t="str">
        <x:v>Content and time limits for initial notification, intermediate and final major incident reports.</x:v>
      </x:c>
      <x:c r="C7" s="12" t="str">
        <x:v>https://eur-lex.europa.eu/eli/reg_del/2025/301/oj/eng</x:v>
      </x:c>
    </x:row>
    <x:row r="8">
      <x:c r="A8" s="12" t="str">
        <x:v>ITS on incident reporting templates - Regulation (EU) 2025/302</x:v>
      </x:c>
      <x:c r="B8" s="12" t="str">
        <x:v>Standard forms, templates and procedures for major incident and significant cyber threat reporting.</x:v>
      </x:c>
      <x:c r="C8" s="12" t="str">
        <x:v>https://eur-lex.europa.eu/eli/reg_impl/2025/302/oj/eng</x:v>
      </x:c>
    </x:row>
    <x:row r="9">
      <x:c r="A9" s="12" t="str">
        <x:v>RTS on ICT third-party provider policy - Regulation (EU) 2024/1773</x:v>
      </x:c>
      <x:c r="B9" s="12" t="str">
        <x:v>Detailed policy content for ICT services supporting critical or important functions.</x:v>
      </x:c>
      <x:c r="C9" s="12" t="str">
        <x:v>https://eur-lex.europa.eu/eli/reg_del/2024/1773/oj/eng</x:v>
      </x:c>
    </x:row>
    <x:row r="10">
      <x:c r="A10" s="12" t="str">
        <x:v>ITS on Register of Information - Regulation (EU) 2024/2956</x:v>
      </x:c>
      <x:c r="B10" s="12" t="str">
        <x:v>Standard templates for DORA Register of Information.</x:v>
      </x:c>
      <x:c r="C10" s="12" t="str">
        <x:v>https://eur-lex.europa.eu/eli/reg_impl/2024/2956/oj/eng</x:v>
      </x:c>
    </x:row>
    <x:row r="11">
      <x:c r="A11" s="12" t="str">
        <x:v>RTS on subcontracting ICT services - Regulation (EU) 2025/532</x:v>
      </x:c>
      <x:c r="B11" s="12" t="str">
        <x:v>Elements to identify and assess when subcontracting ICT services supporting critical or important functions.</x:v>
      </x:c>
      <x:c r="C11" s="12" t="str">
        <x:v>https://eur-lex.europa.eu/eli/reg_del/2025/532/oj/eng</x:v>
      </x:c>
    </x:row>
    <x:row r="12">
      <x:c r="A12" s="12" t="str">
        <x:v>RTS on Threat-Led Penetration Testing - Regulation (EU) 2025/1190</x:v>
      </x:c>
      <x:c r="B12" s="12" t="str">
        <x:v>Criteria and requirements for TLPT-selected financial entities.</x:v>
      </x:c>
      <x:c r="C12" s="12" t="str">
        <x:v>https://eur-lex.europa.eu/eli/reg_del/2025/1190/oj/eng</x:v>
      </x:c>
    </x:row>
    <x:row r="13">
      <x:c r="A13" s="12" t="str">
        <x:v>Central Bank of Ireland DORA overview</x:v>
      </x:c>
      <x:c r="B13" s="12" t="str">
        <x:v>Clear supervisory summary of DORA pillars and legal implementation status.</x:v>
      </x:c>
      <x:c r="C13" s="12" t="str">
        <x:v>https://www.centralbank.ie/regulation/digital-operational-resilience-act-dora</x:v>
      </x:c>
    </x:row>
  </x:sheetData>
  <x:pageMargins left="0.7" right="0.7" top="0.75" bottom="0.75" header="0.3" footer="0.3"/>
  <x:tableParts count="1">
    <x:tablePart xmlns:r="http://schemas.openxmlformats.org/officeDocument/2006/relationships" r:id="R1d20df95b66143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60" hidden="0" customWidth="1"/>
  </x:cols>
  <x:sheetData>
    <x:row r="1">
      <x:c r="A1" s="6" t="str">
        <x:v>Object / Table</x:v>
      </x:c>
      <x:c r="B1" s="6" t="str">
        <x:v>Key Fields</x:v>
      </x:c>
      <x:c r="C1" s="6" t="str">
        <x:v>Purpose</x:v>
      </x:c>
    </x:row>
    <x:row r="2">
      <x:c r="A2" s="12" t="str">
        <x:v>OrganisationProfile</x:v>
      </x:c>
      <x:c r="B2" s="12" t="str">
        <x:v>entity_type; country; regulator; dora_enabled; simplified_framework; microenterprise; tlpt_selected; payment_related_entity</x:v>
      </x:c>
      <x:c r="C2" s="12" t="str">
        <x:v>Controls DORA module enablement and applicability rules.</x:v>
      </x:c>
    </x:row>
    <x:row r="3">
      <x:c r="A3" s="12" t="str">
        <x:v>CriticalFunction</x:v>
      </x:c>
      <x:c r="B3" s="12" t="str">
        <x:v>function_id; name; criticality; owner; impact; rto; rpo; mapped_assets; mapped_suppliers</x:v>
      </x:c>
      <x:c r="C3" s="12" t="str">
        <x:v>Core DORA object used for BIA, testing, TPRM, incident impact and RoI.</x:v>
      </x:c>
    </x:row>
    <x:row r="4">
      <x:c r="A4" s="12" t="str">
        <x:v>ICTAsset</x:v>
      </x:c>
      <x:c r="B4" s="12" t="str">
        <x:v>asset_id; name; type; owner; classification; support_status; critical_function_links; monitoring_coverage</x:v>
      </x:c>
      <x:c r="C4" s="12" t="str">
        <x:v>Asset inventory and dependency mapping.</x:v>
      </x:c>
    </x:row>
    <x:row r="5">
      <x:c r="A5" s="12" t="str">
        <x:v>ICTRisk</x:v>
      </x:c>
      <x:c r="B5" s="12" t="str">
        <x:v>risk_id; threat; vulnerability; asset/function; inherent_risk; controls; residual_risk; tolerance_status; treatment_plan</x:v>
      </x:c>
      <x:c r="C5" s="12" t="str">
        <x:v>ICT risk register and risk treatment workflow.</x:v>
      </x:c>
    </x:row>
    <x:row r="6">
      <x:c r="A6" s="12" t="str">
        <x:v>ControlAssessment</x:v>
      </x:c>
      <x:c r="B6" s="12" t="str">
        <x:v>control_id; applicability; status; owner; evidence; last_review; next_review; gap; remediation_task</x:v>
      </x:c>
      <x:c r="C6" s="12" t="str">
        <x:v>Assessment record for each DORA control.</x:v>
      </x:c>
    </x:row>
    <x:row r="7">
      <x:c r="A7" s="12" t="str">
        <x:v>Evidence</x:v>
      </x:c>
      <x:c r="B7" s="12" t="str">
        <x:v>evidence_id; document; source; linked_control; linked_risk; owner; date; expiry; approval_status</x:v>
      </x:c>
      <x:c r="C7" s="12" t="str">
        <x:v>Audit-ready evidence management.</x:v>
      </x:c>
    </x:row>
    <x:row r="8">
      <x:c r="A8" s="12" t="str">
        <x:v>Incident</x:v>
      </x:c>
      <x:c r="B8" s="12" t="str">
        <x:v>incident_id; detection_time; classification; major_flag; impact; reporting_stage; authority; submitted_templates; costs_losses; post_incident_review</x:v>
      </x:c>
      <x:c r="C8" s="12" t="str">
        <x:v>DORA incident management, classification and reporting.</x:v>
      </x:c>
    </x:row>
    <x:row r="9">
      <x:c r="A9" s="12" t="str">
        <x:v>Supplier</x:v>
      </x:c>
      <x:c r="B9" s="12" t="str">
        <x:v>supplier_id; legal_name; ict_service_type; country; risk_rating; supports_cif; subcontractors; assurance; concentration_group</x:v>
      </x:c>
      <x:c r="C9" s="12" t="str">
        <x:v>Third-party ICT risk management and RoI source record.</x:v>
      </x:c>
    </x:row>
    <x:row r="10">
      <x:c r="A10" s="12" t="str">
        <x:v>Contract</x:v>
      </x:c>
      <x:c r="B10" s="12" t="str">
        <x:v>contract_id; supplier; service; critical_function; dora_clause_status; audit_rights; exit_plan; subcontracting; data_location; renewal_date</x:v>
      </x:c>
      <x:c r="C10" s="12" t="str">
        <x:v>DORA contract lifecycle and minimum clause checks.</x:v>
      </x:c>
    </x:row>
    <x:row r="11">
      <x:c r="A11" s="12" t="str">
        <x:v>RegisterOfInformation</x:v>
      </x:c>
      <x:c r="B11" s="12" t="str">
        <x:v>RoI template fields per EU 2024/2956; entity hierarchy; contract/service/provider/subcontractor links; validation status</x:v>
      </x:c>
      <x:c r="C11" s="12" t="str">
        <x:v>Exportable DORA RoI.</x:v>
      </x:c>
    </x:row>
    <x:row r="12">
      <x:c r="A12" s="12" t="str">
        <x:v>TestingProgramme</x:v>
      </x:c>
      <x:c r="B12" s="12" t="str">
        <x:v>test_id; type; scope; critical_functions; systems; provider; date; findings; remediation; retest</x:v>
      </x:c>
      <x:c r="C12" s="12" t="str">
        <x:v>DORA resilience testing and finding remediation.</x:v>
      </x:c>
    </x:row>
    <x:row r="13">
      <x:c r="A13" s="12" t="str">
        <x:v>TLPT</x:v>
      </x:c>
      <x:c r="B13" s="12" t="str">
        <x:v>tlpt_id; selected_flag; authority; scope; providers; risk_plan; threat_intel; red_team; report; closure; remediation</x:v>
      </x:c>
      <x:c r="C13" s="12" t="str">
        <x:v>Advanced TLPT lifecycle for selected entities.</x:v>
      </x:c>
    </x:row>
  </x:sheetData>
  <x:pageMargins left="0.7" right="0.7" top="0.75" bottom="0.75" header="0.3" footer="0.3"/>
  <x:tableParts count="1">
    <x:tablePart xmlns:r="http://schemas.openxmlformats.org/officeDocument/2006/relationships" r:id="R10ffe366174845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6" t="str">
        <x:v>Status</x:v>
      </x:c>
      <x:c r="B1" s="6" t="str">
        <x:v>Priority</x:v>
      </x:c>
    </x:row>
    <x:row r="2">
      <x:c r="A2" t="str">
        <x:v>Not Assessed</x:v>
      </x:c>
      <x:c r="B2" t="str">
        <x:v>Critical</x:v>
      </x:c>
    </x:row>
    <x:row r="3">
      <x:c r="A3" t="str">
        <x:v>Implemented</x:v>
      </x:c>
      <x:c r="B3" t="str">
        <x:v>High</x:v>
      </x:c>
    </x:row>
    <x:row r="4">
      <x:c r="A4" t="str">
        <x:v>Partially Implemented</x:v>
      </x:c>
      <x:c r="B4" t="str">
        <x:v>Medium</x:v>
      </x:c>
    </x:row>
    <x:row r="5">
      <x:c r="A5" t="str">
        <x:v>Not Applicable</x:v>
      </x:c>
      <x:c r="B5" t="str">
        <x:v>Low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</x:cols>
  <x:sheetData>
    <x:row r="1">
      <x:c r="A1" s="6" t="str">
        <x:v>Control_ID</x:v>
      </x:c>
      <x:c r="B1" s="6" t="str">
        <x:v>Tag</x:v>
      </x:c>
    </x:row>
    <x:row r="2">
      <x:c r="A2" t="str">
        <x:v>DORA-GOV-001</x:v>
      </x:c>
      <x:c r="B2" t="str">
        <x:v>DORA_FULL</x:v>
      </x:c>
    </x:row>
    <x:row r="3">
      <x:c r="A3" t="str">
        <x:v>DORA-GOV-001</x:v>
      </x:c>
      <x:c r="B3" t="str">
        <x:v>MANAGEMENT_BODY</x:v>
      </x:c>
    </x:row>
    <x:row r="4">
      <x:c r="A4" t="str">
        <x:v>DORA-GOV-002</x:v>
      </x:c>
      <x:c r="B4" t="str">
        <x:v>DORA_FULL</x:v>
      </x:c>
    </x:row>
    <x:row r="5">
      <x:c r="A5" t="str">
        <x:v>DORA-GOV-003</x:v>
      </x:c>
      <x:c r="B5" t="str">
        <x:v>DORA_FULL</x:v>
      </x:c>
    </x:row>
    <x:row r="6">
      <x:c r="A6" t="str">
        <x:v>DORA-GOV-004</x:v>
      </x:c>
      <x:c r="B6" t="str">
        <x:v>DORA_FULL</x:v>
      </x:c>
    </x:row>
    <x:row r="7">
      <x:c r="A7" t="str">
        <x:v>DORA-GOV-004</x:v>
      </x:c>
      <x:c r="B7" t="str">
        <x:v>DORA_SIMPLIFIED</x:v>
      </x:c>
    </x:row>
    <x:row r="8">
      <x:c r="A8" t="str">
        <x:v>DORA-GOV-005</x:v>
      </x:c>
      <x:c r="B8" t="str">
        <x:v>DORA_FULL</x:v>
      </x:c>
    </x:row>
    <x:row r="9">
      <x:c r="A9" t="str">
        <x:v>DORA-GOV-006</x:v>
      </x:c>
      <x:c r="B9" t="str">
        <x:v>DORA_FULL</x:v>
      </x:c>
    </x:row>
    <x:row r="10">
      <x:c r="A10" t="str">
        <x:v>DORA-GOV-006</x:v>
      </x:c>
      <x:c r="B10" t="str">
        <x:v>DORA_SIMPLIFIED</x:v>
      </x:c>
    </x:row>
    <x:row r="11">
      <x:c r="A11" t="str">
        <x:v>DORA-GOV-007</x:v>
      </x:c>
      <x:c r="B11" t="str">
        <x:v>DORA_FULL</x:v>
      </x:c>
    </x:row>
    <x:row r="12">
      <x:c r="A12" t="str">
        <x:v>DORA-GOV-008</x:v>
      </x:c>
      <x:c r="B12" t="str">
        <x:v>DORA_FULL</x:v>
      </x:c>
    </x:row>
    <x:row r="13">
      <x:c r="A13" t="str">
        <x:v>DORA-GOV-008</x:v>
      </x:c>
      <x:c r="B13" t="str">
        <x:v>DORA_SIMPLIFIED</x:v>
      </x:c>
    </x:row>
    <x:row r="14">
      <x:c r="A14" t="str">
        <x:v>DORA-GOV-009</x:v>
      </x:c>
      <x:c r="B14" t="str">
        <x:v>DORA_FULL</x:v>
      </x:c>
    </x:row>
    <x:row r="15">
      <x:c r="A15" t="str">
        <x:v>DORA-GOV-009</x:v>
      </x:c>
      <x:c r="B15" t="str">
        <x:v>DORA_SIMPLIFIED</x:v>
      </x:c>
    </x:row>
    <x:row r="16">
      <x:c r="A16" t="str">
        <x:v>DORA-GOV-010</x:v>
      </x:c>
      <x:c r="B16" t="str">
        <x:v>DORA_FULL</x:v>
      </x:c>
    </x:row>
    <x:row r="17">
      <x:c r="A17" t="str">
        <x:v>DORA-GOV-010</x:v>
      </x:c>
      <x:c r="B17" t="str">
        <x:v>DORA_SIMPLIFIED</x:v>
      </x:c>
    </x:row>
    <x:row r="18">
      <x:c r="A18" t="str">
        <x:v>DORA-GOV-010</x:v>
      </x:c>
      <x:c r="B18" t="str">
        <x:v>MICROENTERPRISE</x:v>
      </x:c>
    </x:row>
    <x:row r="19">
      <x:c r="A19" t="str">
        <x:v>DORA-GOV-011</x:v>
      </x:c>
      <x:c r="B19" t="str">
        <x:v>DORA_FULL</x:v>
      </x:c>
    </x:row>
    <x:row r="20">
      <x:c r="A20" t="str">
        <x:v>DORA-GOV-012</x:v>
      </x:c>
      <x:c r="B20" t="str">
        <x:v>DORA_FULL</x:v>
      </x:c>
    </x:row>
    <x:row r="21">
      <x:c r="A21" t="str">
        <x:v>DORA-GOV-012</x:v>
      </x:c>
      <x:c r="B21" t="str">
        <x:v>DORA_SIMPLIFIED</x:v>
      </x:c>
    </x:row>
    <x:row r="22">
      <x:c r="A22" t="str">
        <x:v>DORA-RMF-001</x:v>
      </x:c>
      <x:c r="B22" t="str">
        <x:v>DORA_FULL</x:v>
      </x:c>
    </x:row>
    <x:row r="23">
      <x:c r="A23" t="str">
        <x:v>DORA-RMF-002</x:v>
      </x:c>
      <x:c r="B23" t="str">
        <x:v>DORA_FULL</x:v>
      </x:c>
    </x:row>
    <x:row r="24">
      <x:c r="A24" t="str">
        <x:v>DORA-RMF-002</x:v>
      </x:c>
      <x:c r="B24" t="str">
        <x:v>DORA_SIMPLIFIED</x:v>
      </x:c>
    </x:row>
    <x:row r="25">
      <x:c r="A25" t="str">
        <x:v>DORA-RMF-003</x:v>
      </x:c>
      <x:c r="B25" t="str">
        <x:v>DORA_FULL</x:v>
      </x:c>
    </x:row>
    <x:row r="26">
      <x:c r="A26" t="str">
        <x:v>DORA-RMF-003</x:v>
      </x:c>
      <x:c r="B26" t="str">
        <x:v>DORA_SIMPLIFIED</x:v>
      </x:c>
    </x:row>
    <x:row r="27">
      <x:c r="A27" t="str">
        <x:v>DORA-RMF-004</x:v>
      </x:c>
      <x:c r="B27" t="str">
        <x:v>DORA_FULL</x:v>
      </x:c>
    </x:row>
    <x:row r="28">
      <x:c r="A28" t="str">
        <x:v>DORA-RMF-004</x:v>
      </x:c>
      <x:c r="B28" t="str">
        <x:v>DORA_SIMPLIFIED</x:v>
      </x:c>
    </x:row>
    <x:row r="29">
      <x:c r="A29" t="str">
        <x:v>DORA-RMF-005</x:v>
      </x:c>
      <x:c r="B29" t="str">
        <x:v>DORA_FULL</x:v>
      </x:c>
    </x:row>
    <x:row r="30">
      <x:c r="A30" t="str">
        <x:v>DORA-RMF-005</x:v>
      </x:c>
      <x:c r="B30" t="str">
        <x:v>DORA_SIMPLIFIED</x:v>
      </x:c>
    </x:row>
    <x:row r="31">
      <x:c r="A31" t="str">
        <x:v>DORA-RMF-006</x:v>
      </x:c>
      <x:c r="B31" t="str">
        <x:v>DORA_FULL</x:v>
      </x:c>
    </x:row>
    <x:row r="32">
      <x:c r="A32" t="str">
        <x:v>DORA-RMF-006</x:v>
      </x:c>
      <x:c r="B32" t="str">
        <x:v>DORA_SIMPLIFIED</x:v>
      </x:c>
    </x:row>
    <x:row r="33">
      <x:c r="A33" t="str">
        <x:v>DORA-RMF-007</x:v>
      </x:c>
      <x:c r="B33" t="str">
        <x:v>DORA_FULL</x:v>
      </x:c>
    </x:row>
    <x:row r="34">
      <x:c r="A34" t="str">
        <x:v>DORA-RMF-007</x:v>
      </x:c>
      <x:c r="B34" t="str">
        <x:v>DORA_SIMPLIFIED</x:v>
      </x:c>
    </x:row>
    <x:row r="35">
      <x:c r="A35" t="str">
        <x:v>DORA-RMF-008</x:v>
      </x:c>
      <x:c r="B35" t="str">
        <x:v>DORA_FULL</x:v>
      </x:c>
    </x:row>
    <x:row r="36">
      <x:c r="A36" t="str">
        <x:v>DORA-RMF-009</x:v>
      </x:c>
      <x:c r="B36" t="str">
        <x:v>DORA_FULL</x:v>
      </x:c>
    </x:row>
    <x:row r="37">
      <x:c r="A37" t="str">
        <x:v>DORA-RMF-010</x:v>
      </x:c>
      <x:c r="B37" t="str">
        <x:v>DORA_FULL</x:v>
      </x:c>
    </x:row>
    <x:row r="38">
      <x:c r="A38" t="str">
        <x:v>DORA-RMF-011</x:v>
      </x:c>
      <x:c r="B38" t="str">
        <x:v>DORA_FULL</x:v>
      </x:c>
    </x:row>
    <x:row r="39">
      <x:c r="A39" t="str">
        <x:v>DORA-RMF-011</x:v>
      </x:c>
      <x:c r="B39" t="str">
        <x:v>DORA_SIMPLIFIED</x:v>
      </x:c>
    </x:row>
    <x:row r="40">
      <x:c r="A40" t="str">
        <x:v>DORA-RMF-012</x:v>
      </x:c>
      <x:c r="B40" t="str">
        <x:v>DORA_FULL</x:v>
      </x:c>
    </x:row>
    <x:row r="41">
      <x:c r="A41" t="str">
        <x:v>DORA-ID-001</x:v>
      </x:c>
      <x:c r="B41" t="str">
        <x:v>DORA_FULL</x:v>
      </x:c>
    </x:row>
    <x:row r="42">
      <x:c r="A42" t="str">
        <x:v>DORA-ID-001</x:v>
      </x:c>
      <x:c r="B42" t="str">
        <x:v>DORA_SIMPLIFIED</x:v>
      </x:c>
    </x:row>
    <x:row r="43">
      <x:c r="A43" t="str">
        <x:v>DORA-ID-002</x:v>
      </x:c>
      <x:c r="B43" t="str">
        <x:v>DORA_FULL</x:v>
      </x:c>
    </x:row>
    <x:row r="44">
      <x:c r="A44" t="str">
        <x:v>DORA-ID-002</x:v>
      </x:c>
      <x:c r="B44" t="str">
        <x:v>DORA_SIMPLIFIED</x:v>
      </x:c>
    </x:row>
    <x:row r="45">
      <x:c r="A45" t="str">
        <x:v>DORA-ID-003</x:v>
      </x:c>
      <x:c r="B45" t="str">
        <x:v>DORA_FULL</x:v>
      </x:c>
    </x:row>
    <x:row r="46">
      <x:c r="A46" t="str">
        <x:v>DORA-ID-003</x:v>
      </x:c>
      <x:c r="B46" t="str">
        <x:v>DORA_SIMPLIFIED</x:v>
      </x:c>
    </x:row>
    <x:row r="47">
      <x:c r="A47" t="str">
        <x:v>DORA-ID-004</x:v>
      </x:c>
      <x:c r="B47" t="str">
        <x:v>DORA_FULL</x:v>
      </x:c>
    </x:row>
    <x:row r="48">
      <x:c r="A48" t="str">
        <x:v>DORA-ID-004</x:v>
      </x:c>
      <x:c r="B48" t="str">
        <x:v>DORA_SIMPLIFIED</x:v>
      </x:c>
    </x:row>
    <x:row r="49">
      <x:c r="A49" t="str">
        <x:v>DORA-ID-005</x:v>
      </x:c>
      <x:c r="B49" t="str">
        <x:v>DORA_FULL</x:v>
      </x:c>
    </x:row>
    <x:row r="50">
      <x:c r="A50" t="str">
        <x:v>DORA-ID-005</x:v>
      </x:c>
      <x:c r="B50" t="str">
        <x:v>DORA_SIMPLIFIED</x:v>
      </x:c>
    </x:row>
    <x:row r="51">
      <x:c r="A51" t="str">
        <x:v>DORA-ID-005</x:v>
      </x:c>
      <x:c r="B51" t="str">
        <x:v>THIRD_PARTY</x:v>
      </x:c>
    </x:row>
    <x:row r="52">
      <x:c r="A52" t="str">
        <x:v>DORA-ID-006</x:v>
      </x:c>
      <x:c r="B52" t="str">
        <x:v>DORA_FULL</x:v>
      </x:c>
    </x:row>
    <x:row r="53">
      <x:c r="A53" t="str">
        <x:v>DORA-ID-006</x:v>
      </x:c>
      <x:c r="B53" t="str">
        <x:v>DORA_SIMPLIFIED</x:v>
      </x:c>
    </x:row>
    <x:row r="54">
      <x:c r="A54" t="str">
        <x:v>DORA-ID-007</x:v>
      </x:c>
      <x:c r="B54" t="str">
        <x:v>DORA_FULL</x:v>
      </x:c>
    </x:row>
    <x:row r="55">
      <x:c r="A55" t="str">
        <x:v>DORA-ID-007</x:v>
      </x:c>
      <x:c r="B55" t="str">
        <x:v>DORA_SIMPLIFIED</x:v>
      </x:c>
    </x:row>
    <x:row r="56">
      <x:c r="A56" t="str">
        <x:v>DORA-ID-008</x:v>
      </x:c>
      <x:c r="B56" t="str">
        <x:v>DORA_FULL</x:v>
      </x:c>
    </x:row>
    <x:row r="57">
      <x:c r="A57" t="str">
        <x:v>DORA-ID-009</x:v>
      </x:c>
      <x:c r="B57" t="str">
        <x:v>DORA_FULL</x:v>
      </x:c>
    </x:row>
    <x:row r="58">
      <x:c r="A58" t="str">
        <x:v>DORA-ID-010</x:v>
      </x:c>
      <x:c r="B58" t="str">
        <x:v>DORA_FULL</x:v>
      </x:c>
    </x:row>
    <x:row r="59">
      <x:c r="A59" t="str">
        <x:v>DORA-PRO-001</x:v>
      </x:c>
      <x:c r="B59" t="str">
        <x:v>DORA_FULL</x:v>
      </x:c>
    </x:row>
    <x:row r="60">
      <x:c r="A60" t="str">
        <x:v>DORA-PRO-001</x:v>
      </x:c>
      <x:c r="B60" t="str">
        <x:v>DORA_SIMPLIFIED</x:v>
      </x:c>
    </x:row>
    <x:row r="61">
      <x:c r="A61" t="str">
        <x:v>DORA-PRO-002</x:v>
      </x:c>
      <x:c r="B61" t="str">
        <x:v>DORA_FULL</x:v>
      </x:c>
    </x:row>
    <x:row r="62">
      <x:c r="A62" t="str">
        <x:v>DORA-PRO-002</x:v>
      </x:c>
      <x:c r="B62" t="str">
        <x:v>DORA_SIMPLIFIED</x:v>
      </x:c>
    </x:row>
    <x:row r="63">
      <x:c r="A63" t="str">
        <x:v>DORA-PRO-003</x:v>
      </x:c>
      <x:c r="B63" t="str">
        <x:v>DORA_FULL</x:v>
      </x:c>
    </x:row>
    <x:row r="64">
      <x:c r="A64" t="str">
        <x:v>DORA-PRO-003</x:v>
      </x:c>
      <x:c r="B64" t="str">
        <x:v>DORA_SIMPLIFIED</x:v>
      </x:c>
    </x:row>
    <x:row r="65">
      <x:c r="A65" t="str">
        <x:v>DORA-PRO-004</x:v>
      </x:c>
      <x:c r="B65" t="str">
        <x:v>DORA_FULL</x:v>
      </x:c>
    </x:row>
    <x:row r="66">
      <x:c r="A66" t="str">
        <x:v>DORA-PRO-004</x:v>
      </x:c>
      <x:c r="B66" t="str">
        <x:v>DORA_SIMPLIFIED</x:v>
      </x:c>
    </x:row>
    <x:row r="67">
      <x:c r="A67" t="str">
        <x:v>DORA-PRO-005</x:v>
      </x:c>
      <x:c r="B67" t="str">
        <x:v>DORA_FULL</x:v>
      </x:c>
    </x:row>
    <x:row r="68">
      <x:c r="A68" t="str">
        <x:v>DORA-PRO-005</x:v>
      </x:c>
      <x:c r="B68" t="str">
        <x:v>DORA_SIMPLIFIED</x:v>
      </x:c>
    </x:row>
    <x:row r="69">
      <x:c r="A69" t="str">
        <x:v>DORA-PRO-006</x:v>
      </x:c>
      <x:c r="B69" t="str">
        <x:v>DORA_FULL</x:v>
      </x:c>
    </x:row>
    <x:row r="70">
      <x:c r="A70" t="str">
        <x:v>DORA-PRO-006</x:v>
      </x:c>
      <x:c r="B70" t="str">
        <x:v>DORA_SIMPLIFIED</x:v>
      </x:c>
    </x:row>
    <x:row r="71">
      <x:c r="A71" t="str">
        <x:v>DORA-PRO-007</x:v>
      </x:c>
      <x:c r="B71" t="str">
        <x:v>DORA_FULL</x:v>
      </x:c>
    </x:row>
    <x:row r="72">
      <x:c r="A72" t="str">
        <x:v>DORA-PRO-007</x:v>
      </x:c>
      <x:c r="B72" t="str">
        <x:v>DORA_SIMPLIFIED</x:v>
      </x:c>
    </x:row>
    <x:row r="73">
      <x:c r="A73" t="str">
        <x:v>DORA-PRO-008</x:v>
      </x:c>
      <x:c r="B73" t="str">
        <x:v>DORA_FULL</x:v>
      </x:c>
    </x:row>
    <x:row r="74">
      <x:c r="A74" t="str">
        <x:v>DORA-PRO-008</x:v>
      </x:c>
      <x:c r="B74" t="str">
        <x:v>DORA_SIMPLIFIED</x:v>
      </x:c>
    </x:row>
    <x:row r="75">
      <x:c r="A75" t="str">
        <x:v>DORA-PRO-009</x:v>
      </x:c>
      <x:c r="B75" t="str">
        <x:v>DORA_FULL</x:v>
      </x:c>
    </x:row>
    <x:row r="76">
      <x:c r="A76" t="str">
        <x:v>DORA-PRO-009</x:v>
      </x:c>
      <x:c r="B76" t="str">
        <x:v>DORA_SIMPLIFIED</x:v>
      </x:c>
    </x:row>
    <x:row r="77">
      <x:c r="A77" t="str">
        <x:v>DORA-PRO-010</x:v>
      </x:c>
      <x:c r="B77" t="str">
        <x:v>DORA_FULL</x:v>
      </x:c>
    </x:row>
    <x:row r="78">
      <x:c r="A78" t="str">
        <x:v>DORA-PRO-010</x:v>
      </x:c>
      <x:c r="B78" t="str">
        <x:v>DORA_SIMPLIFIED</x:v>
      </x:c>
    </x:row>
    <x:row r="79">
      <x:c r="A79" t="str">
        <x:v>DORA-PRO-011</x:v>
      </x:c>
      <x:c r="B79" t="str">
        <x:v>DORA_FULL</x:v>
      </x:c>
    </x:row>
    <x:row r="80">
      <x:c r="A80" t="str">
        <x:v>DORA-PRO-011</x:v>
      </x:c>
      <x:c r="B80" t="str">
        <x:v>DORA_SIMPLIFIED</x:v>
      </x:c>
    </x:row>
    <x:row r="81">
      <x:c r="A81" t="str">
        <x:v>DORA-PRO-012</x:v>
      </x:c>
      <x:c r="B81" t="str">
        <x:v>DORA_FULL</x:v>
      </x:c>
    </x:row>
    <x:row r="82">
      <x:c r="A82" t="str">
        <x:v>DORA-PRO-012</x:v>
      </x:c>
      <x:c r="B82" t="str">
        <x:v>DORA_SIMPLIFIED</x:v>
      </x:c>
    </x:row>
    <x:row r="83">
      <x:c r="A83" t="str">
        <x:v>DORA-PRO-013</x:v>
      </x:c>
      <x:c r="B83" t="str">
        <x:v>DORA_FULL</x:v>
      </x:c>
    </x:row>
    <x:row r="84">
      <x:c r="A84" t="str">
        <x:v>DORA-PRO-013</x:v>
      </x:c>
      <x:c r="B84" t="str">
        <x:v>DORA_SIMPLIFIED</x:v>
      </x:c>
    </x:row>
    <x:row r="85">
      <x:c r="A85" t="str">
        <x:v>DORA-PRO-014</x:v>
      </x:c>
      <x:c r="B85" t="str">
        <x:v>DORA_FULL</x:v>
      </x:c>
    </x:row>
    <x:row r="86">
      <x:c r="A86" t="str">
        <x:v>DORA-PRO-014</x:v>
      </x:c>
      <x:c r="B86" t="str">
        <x:v>DORA_SIMPLIFIED</x:v>
      </x:c>
    </x:row>
    <x:row r="87">
      <x:c r="A87" t="str">
        <x:v>DORA-PRO-015</x:v>
      </x:c>
      <x:c r="B87" t="str">
        <x:v>DORA_FULL</x:v>
      </x:c>
    </x:row>
    <x:row r="88">
      <x:c r="A88" t="str">
        <x:v>DORA-PRO-015</x:v>
      </x:c>
      <x:c r="B88" t="str">
        <x:v>DORA_SIMPLIFIED</x:v>
      </x:c>
    </x:row>
    <x:row r="89">
      <x:c r="A89" t="str">
        <x:v>DORA-PRO-016</x:v>
      </x:c>
      <x:c r="B89" t="str">
        <x:v>DORA_FULL</x:v>
      </x:c>
    </x:row>
    <x:row r="90">
      <x:c r="A90" t="str">
        <x:v>DORA-PRO-016</x:v>
      </x:c>
      <x:c r="B90" t="str">
        <x:v>DORA_SIMPLIFIED</x:v>
      </x:c>
    </x:row>
    <x:row r="91">
      <x:c r="A91" t="str">
        <x:v>DORA-PRO-017</x:v>
      </x:c>
      <x:c r="B91" t="str">
        <x:v>DORA_FULL</x:v>
      </x:c>
    </x:row>
    <x:row r="92">
      <x:c r="A92" t="str">
        <x:v>DORA-PRO-017</x:v>
      </x:c>
      <x:c r="B92" t="str">
        <x:v>DORA_SIMPLIFIED</x:v>
      </x:c>
    </x:row>
    <x:row r="93">
      <x:c r="A93" t="str">
        <x:v>DORA-PRO-018</x:v>
      </x:c>
      <x:c r="B93" t="str">
        <x:v>DORA_FULL</x:v>
      </x:c>
    </x:row>
    <x:row r="94">
      <x:c r="A94" t="str">
        <x:v>DORA-PRO-018</x:v>
      </x:c>
      <x:c r="B94" t="str">
        <x:v>DORA_SIMPLIFIED</x:v>
      </x:c>
    </x:row>
    <x:row r="95">
      <x:c r="A95" t="str">
        <x:v>DORA-PRO-018</x:v>
      </x:c>
      <x:c r="B95" t="str">
        <x:v>THIRD_PARTY</x:v>
      </x:c>
    </x:row>
    <x:row r="96">
      <x:c r="A96" t="str">
        <x:v>DORA-DET-001</x:v>
      </x:c>
      <x:c r="B96" t="str">
        <x:v>DORA_FULL</x:v>
      </x:c>
    </x:row>
    <x:row r="97">
      <x:c r="A97" t="str">
        <x:v>DORA-DET-001</x:v>
      </x:c>
      <x:c r="B97" t="str">
        <x:v>DORA_SIMPLIFIED</x:v>
      </x:c>
    </x:row>
    <x:row r="98">
      <x:c r="A98" t="str">
        <x:v>DORA-DET-002</x:v>
      </x:c>
      <x:c r="B98" t="str">
        <x:v>DORA_FULL</x:v>
      </x:c>
    </x:row>
    <x:row r="99">
      <x:c r="A99" t="str">
        <x:v>DORA-DET-002</x:v>
      </x:c>
      <x:c r="B99" t="str">
        <x:v>DORA_SIMPLIFIED</x:v>
      </x:c>
    </x:row>
    <x:row r="100">
      <x:c r="A100" t="str">
        <x:v>DORA-DET-003</x:v>
      </x:c>
      <x:c r="B100" t="str">
        <x:v>DORA_FULL</x:v>
      </x:c>
    </x:row>
    <x:row r="101">
      <x:c r="A101" t="str">
        <x:v>DORA-DET-003</x:v>
      </x:c>
      <x:c r="B101" t="str">
        <x:v>DORA_SIMPLIFIED</x:v>
      </x:c>
    </x:row>
    <x:row r="102">
      <x:c r="A102" t="str">
        <x:v>DORA-DET-004</x:v>
      </x:c>
      <x:c r="B102" t="str">
        <x:v>DORA_FULL</x:v>
      </x:c>
    </x:row>
    <x:row r="103">
      <x:c r="A103" t="str">
        <x:v>DORA-DET-004</x:v>
      </x:c>
      <x:c r="B103" t="str">
        <x:v>DORA_SIMPLIFIED</x:v>
      </x:c>
    </x:row>
    <x:row r="104">
      <x:c r="A104" t="str">
        <x:v>DORA-DET-005</x:v>
      </x:c>
      <x:c r="B104" t="str">
        <x:v>DORA_FULL</x:v>
      </x:c>
    </x:row>
    <x:row r="105">
      <x:c r="A105" t="str">
        <x:v>DORA-DET-005</x:v>
      </x:c>
      <x:c r="B105" t="str">
        <x:v>DORA_SIMPLIFIED</x:v>
      </x:c>
    </x:row>
    <x:row r="106">
      <x:c r="A106" t="str">
        <x:v>DORA-DET-006</x:v>
      </x:c>
      <x:c r="B106" t="str">
        <x:v>DORA_FULL</x:v>
      </x:c>
    </x:row>
    <x:row r="107">
      <x:c r="A107" t="str">
        <x:v>DORA-DET-007</x:v>
      </x:c>
      <x:c r="B107" t="str">
        <x:v>DORA_FULL</x:v>
      </x:c>
    </x:row>
    <x:row r="108">
      <x:c r="A108" t="str">
        <x:v>DORA-DET-007</x:v>
      </x:c>
      <x:c r="B108" t="str">
        <x:v>DORA_SIMPLIFIED</x:v>
      </x:c>
    </x:row>
    <x:row r="109">
      <x:c r="A109" t="str">
        <x:v>DORA-DET-008</x:v>
      </x:c>
      <x:c r="B109" t="str">
        <x:v>DORA_FULL</x:v>
      </x:c>
    </x:row>
    <x:row r="110">
      <x:c r="A110" t="str">
        <x:v>DORA-DET-008</x:v>
      </x:c>
      <x:c r="B110" t="str">
        <x:v>DORA_SIMPLIFIED</x:v>
      </x:c>
    </x:row>
    <x:row r="111">
      <x:c r="A111" t="str">
        <x:v>DORA-INC-001</x:v>
      </x:c>
      <x:c r="B111" t="str">
        <x:v>DORA_FULL</x:v>
      </x:c>
    </x:row>
    <x:row r="112">
      <x:c r="A112" t="str">
        <x:v>DORA-INC-001</x:v>
      </x:c>
      <x:c r="B112" t="str">
        <x:v>DORA_SIMPLIFIED</x:v>
      </x:c>
    </x:row>
    <x:row r="113">
      <x:c r="A113" t="str">
        <x:v>DORA-INC-002</x:v>
      </x:c>
      <x:c r="B113" t="str">
        <x:v>DORA_FULL</x:v>
      </x:c>
    </x:row>
    <x:row r="114">
      <x:c r="A114" t="str">
        <x:v>DORA-INC-002</x:v>
      </x:c>
      <x:c r="B114" t="str">
        <x:v>DORA_SIMPLIFIED</x:v>
      </x:c>
    </x:row>
    <x:row r="115">
      <x:c r="A115" t="str">
        <x:v>DORA-INC-003</x:v>
      </x:c>
      <x:c r="B115" t="str">
        <x:v>DORA_FULL</x:v>
      </x:c>
    </x:row>
    <x:row r="116">
      <x:c r="A116" t="str">
        <x:v>DORA-INC-003</x:v>
      </x:c>
      <x:c r="B116" t="str">
        <x:v>DORA_SIMPLIFIED</x:v>
      </x:c>
    </x:row>
    <x:row r="117">
      <x:c r="A117" t="str">
        <x:v>DORA-INC-004</x:v>
      </x:c>
      <x:c r="B117" t="str">
        <x:v>DORA_FULL</x:v>
      </x:c>
    </x:row>
    <x:row r="118">
      <x:c r="A118" t="str">
        <x:v>DORA-INC-004</x:v>
      </x:c>
      <x:c r="B118" t="str">
        <x:v>DORA_SIMPLIFIED</x:v>
      </x:c>
    </x:row>
    <x:row r="119">
      <x:c r="A119" t="str">
        <x:v>DORA-INC-005</x:v>
      </x:c>
      <x:c r="B119" t="str">
        <x:v>DORA_FULL</x:v>
      </x:c>
    </x:row>
    <x:row r="120">
      <x:c r="A120" t="str">
        <x:v>DORA-INC-005</x:v>
      </x:c>
      <x:c r="B120" t="str">
        <x:v>DORA_SIMPLIFIED</x:v>
      </x:c>
    </x:row>
    <x:row r="121">
      <x:c r="A121" t="str">
        <x:v>DORA-INC-006</x:v>
      </x:c>
      <x:c r="B121" t="str">
        <x:v>DORA_FULL</x:v>
      </x:c>
    </x:row>
    <x:row r="122">
      <x:c r="A122" t="str">
        <x:v>DORA-INC-006</x:v>
      </x:c>
      <x:c r="B122" t="str">
        <x:v>DORA_SIMPLIFIED</x:v>
      </x:c>
    </x:row>
    <x:row r="123">
      <x:c r="A123" t="str">
        <x:v>DORA-INC-007</x:v>
      </x:c>
      <x:c r="B123" t="str">
        <x:v>DORA_FULL</x:v>
      </x:c>
    </x:row>
    <x:row r="124">
      <x:c r="A124" t="str">
        <x:v>DORA-INC-007</x:v>
      </x:c>
      <x:c r="B124" t="str">
        <x:v>DORA_SIMPLIFIED</x:v>
      </x:c>
    </x:row>
    <x:row r="125">
      <x:c r="A125" t="str">
        <x:v>DORA-INC-008</x:v>
      </x:c>
      <x:c r="B125" t="str">
        <x:v>DORA_FULL</x:v>
      </x:c>
    </x:row>
    <x:row r="126">
      <x:c r="A126" t="str">
        <x:v>DORA-INC-008</x:v>
      </x:c>
      <x:c r="B126" t="str">
        <x:v>DORA_SIMPLIFIED</x:v>
      </x:c>
    </x:row>
    <x:row r="127">
      <x:c r="A127" t="str">
        <x:v>DORA-INC-009</x:v>
      </x:c>
      <x:c r="B127" t="str">
        <x:v>DORA_FULL</x:v>
      </x:c>
    </x:row>
    <x:row r="128">
      <x:c r="A128" t="str">
        <x:v>DORA-INC-009</x:v>
      </x:c>
      <x:c r="B128" t="str">
        <x:v>DORA_SIMPLIFIED</x:v>
      </x:c>
    </x:row>
    <x:row r="129">
      <x:c r="A129" t="str">
        <x:v>DORA-INC-010</x:v>
      </x:c>
      <x:c r="B129" t="str">
        <x:v>DORA_FULL</x:v>
      </x:c>
    </x:row>
    <x:row r="130">
      <x:c r="A130" t="str">
        <x:v>DORA-INC-010</x:v>
      </x:c>
      <x:c r="B130" t="str">
        <x:v>DORA_SIMPLIFIED</x:v>
      </x:c>
    </x:row>
    <x:row r="131">
      <x:c r="A131" t="str">
        <x:v>DORA-INC-011</x:v>
      </x:c>
      <x:c r="B131" t="str">
        <x:v>DORA_FULL</x:v>
      </x:c>
    </x:row>
    <x:row r="132">
      <x:c r="A132" t="str">
        <x:v>DORA-INC-011</x:v>
      </x:c>
      <x:c r="B132" t="str">
        <x:v>DORA_SIMPLIFIED</x:v>
      </x:c>
    </x:row>
    <x:row r="133">
      <x:c r="A133" t="str">
        <x:v>DORA-INC-012</x:v>
      </x:c>
      <x:c r="B133" t="str">
        <x:v>DORA_FULL</x:v>
      </x:c>
    </x:row>
    <x:row r="134">
      <x:c r="A134" t="str">
        <x:v>DORA-INC-012</x:v>
      </x:c>
      <x:c r="B134" t="str">
        <x:v>DORA_SIMPLIFIED</x:v>
      </x:c>
    </x:row>
    <x:row r="135">
      <x:c r="A135" t="str">
        <x:v>DORA-INC-013</x:v>
      </x:c>
      <x:c r="B135" t="str">
        <x:v>DORA_FULL</x:v>
      </x:c>
    </x:row>
    <x:row r="136">
      <x:c r="A136" t="str">
        <x:v>DORA-INC-013</x:v>
      </x:c>
      <x:c r="B136" t="str">
        <x:v>DORA_SIMPLIFIED</x:v>
      </x:c>
    </x:row>
    <x:row r="137">
      <x:c r="A137" t="str">
        <x:v>DORA-INC-014</x:v>
      </x:c>
      <x:c r="B137" t="str">
        <x:v>DORA_FULL</x:v>
      </x:c>
    </x:row>
    <x:row r="138">
      <x:c r="A138" t="str">
        <x:v>DORA-INC-014</x:v>
      </x:c>
      <x:c r="B138" t="str">
        <x:v>DORA_SIMPLIFIED</x:v>
      </x:c>
    </x:row>
    <x:row r="139">
      <x:c r="A139" t="str">
        <x:v>DORA-INC-015</x:v>
      </x:c>
      <x:c r="B139" t="str">
        <x:v>PAYMENT_RELATED_ENTITY</x:v>
      </x:c>
    </x:row>
    <x:row r="140">
      <x:c r="A140" t="str">
        <x:v>DORA-INC-015</x:v>
      </x:c>
      <x:c r="B140" t="str">
        <x:v>CONDITIONAL</x:v>
      </x:c>
    </x:row>
    <x:row r="141">
      <x:c r="A141" t="str">
        <x:v>DORA-BCM-001</x:v>
      </x:c>
      <x:c r="B141" t="str">
        <x:v>DORA_FULL</x:v>
      </x:c>
    </x:row>
    <x:row r="142">
      <x:c r="A142" t="str">
        <x:v>DORA-BCM-001</x:v>
      </x:c>
      <x:c r="B142" t="str">
        <x:v>DORA_SIMPLIFIED</x:v>
      </x:c>
    </x:row>
    <x:row r="143">
      <x:c r="A143" t="str">
        <x:v>DORA-BCM-002</x:v>
      </x:c>
      <x:c r="B143" t="str">
        <x:v>DORA_FULL</x:v>
      </x:c>
    </x:row>
    <x:row r="144">
      <x:c r="A144" t="str">
        <x:v>DORA-BCM-002</x:v>
      </x:c>
      <x:c r="B144" t="str">
        <x:v>DORA_SIMPLIFIED</x:v>
      </x:c>
    </x:row>
    <x:row r="145">
      <x:c r="A145" t="str">
        <x:v>DORA-BCM-003</x:v>
      </x:c>
      <x:c r="B145" t="str">
        <x:v>DORA_FULL</x:v>
      </x:c>
    </x:row>
    <x:row r="146">
      <x:c r="A146" t="str">
        <x:v>DORA-BCM-003</x:v>
      </x:c>
      <x:c r="B146" t="str">
        <x:v>DORA_SIMPLIFIED</x:v>
      </x:c>
    </x:row>
    <x:row r="147">
      <x:c r="A147" t="str">
        <x:v>DORA-BCM-004</x:v>
      </x:c>
      <x:c r="B147" t="str">
        <x:v>DORA_FULL</x:v>
      </x:c>
    </x:row>
    <x:row r="148">
      <x:c r="A148" t="str">
        <x:v>DORA-BCM-005</x:v>
      </x:c>
      <x:c r="B148" t="str">
        <x:v>DORA_FULL</x:v>
      </x:c>
    </x:row>
    <x:row r="149">
      <x:c r="A149" t="str">
        <x:v>DORA-BCM-005</x:v>
      </x:c>
      <x:c r="B149" t="str">
        <x:v>DORA_SIMPLIFIED</x:v>
      </x:c>
    </x:row>
    <x:row r="150">
      <x:c r="A150" t="str">
        <x:v>DORA-BCM-006</x:v>
      </x:c>
      <x:c r="B150" t="str">
        <x:v>DORA_FULL</x:v>
      </x:c>
    </x:row>
    <x:row r="151">
      <x:c r="A151" t="str">
        <x:v>DORA-BCM-006</x:v>
      </x:c>
      <x:c r="B151" t="str">
        <x:v>DORA_SIMPLIFIED</x:v>
      </x:c>
    </x:row>
    <x:row r="152">
      <x:c r="A152" t="str">
        <x:v>DORA-BCM-007</x:v>
      </x:c>
      <x:c r="B152" t="str">
        <x:v>DORA_FULL</x:v>
      </x:c>
    </x:row>
    <x:row r="153">
      <x:c r="A153" t="str">
        <x:v>DORA-BCM-008</x:v>
      </x:c>
      <x:c r="B153" t="str">
        <x:v>DORA_FULL</x:v>
      </x:c>
    </x:row>
    <x:row r="154">
      <x:c r="A154" t="str">
        <x:v>DORA-BCM-008</x:v>
      </x:c>
      <x:c r="B154" t="str">
        <x:v>DORA_SIMPLIFIED</x:v>
      </x:c>
    </x:row>
    <x:row r="155">
      <x:c r="A155" t="str">
        <x:v>DORA-BCM-009</x:v>
      </x:c>
      <x:c r="B155" t="str">
        <x:v>DORA_FULL</x:v>
      </x:c>
    </x:row>
    <x:row r="156">
      <x:c r="A156" t="str">
        <x:v>DORA-BCM-009</x:v>
      </x:c>
      <x:c r="B156" t="str">
        <x:v>DORA_SIMPLIFIED</x:v>
      </x:c>
    </x:row>
    <x:row r="157">
      <x:c r="A157" t="str">
        <x:v>DORA-BCM-010</x:v>
      </x:c>
      <x:c r="B157" t="str">
        <x:v>DORA_FULL</x:v>
      </x:c>
    </x:row>
    <x:row r="158">
      <x:c r="A158" t="str">
        <x:v>DORA-BCM-011</x:v>
      </x:c>
      <x:c r="B158" t="str">
        <x:v>DORA_FULL</x:v>
      </x:c>
    </x:row>
    <x:row r="159">
      <x:c r="A159" t="str">
        <x:v>DORA-BCM-012</x:v>
      </x:c>
      <x:c r="B159" t="str">
        <x:v>DORA_FULL</x:v>
      </x:c>
    </x:row>
    <x:row r="160">
      <x:c r="A160" t="str">
        <x:v>DORA-BCM-012</x:v>
      </x:c>
      <x:c r="B160" t="str">
        <x:v>DORA_SIMPLIFIED</x:v>
      </x:c>
    </x:row>
    <x:row r="161">
      <x:c r="A161" t="str">
        <x:v>DORA-TST-001</x:v>
      </x:c>
      <x:c r="B161" t="str">
        <x:v>DORA_FULL</x:v>
      </x:c>
    </x:row>
    <x:row r="162">
      <x:c r="A162" t="str">
        <x:v>DORA-TST-001</x:v>
      </x:c>
      <x:c r="B162" t="str">
        <x:v>DORA_SIMPLIFIED</x:v>
      </x:c>
    </x:row>
    <x:row r="163">
      <x:c r="A163" t="str">
        <x:v>DORA-TST-002</x:v>
      </x:c>
      <x:c r="B163" t="str">
        <x:v>DORA_FULL</x:v>
      </x:c>
    </x:row>
    <x:row r="164">
      <x:c r="A164" t="str">
        <x:v>DORA-TST-003</x:v>
      </x:c>
      <x:c r="B164" t="str">
        <x:v>DORA_FULL</x:v>
      </x:c>
    </x:row>
    <x:row r="165">
      <x:c r="A165" t="str">
        <x:v>DORA-TST-003</x:v>
      </x:c>
      <x:c r="B165" t="str">
        <x:v>DORA_SIMPLIFIED</x:v>
      </x:c>
    </x:row>
    <x:row r="166">
      <x:c r="A166" t="str">
        <x:v>DORA-TST-004</x:v>
      </x:c>
      <x:c r="B166" t="str">
        <x:v>DORA_FULL</x:v>
      </x:c>
    </x:row>
    <x:row r="167">
      <x:c r="A167" t="str">
        <x:v>DORA-TST-005</x:v>
      </x:c>
      <x:c r="B167" t="str">
        <x:v>DORA_FULL</x:v>
      </x:c>
    </x:row>
    <x:row r="168">
      <x:c r="A168" t="str">
        <x:v>DORA-TST-006</x:v>
      </x:c>
      <x:c r="B168" t="str">
        <x:v>DORA_FULL</x:v>
      </x:c>
    </x:row>
    <x:row r="169">
      <x:c r="A169" t="str">
        <x:v>DORA-TST-007</x:v>
      </x:c>
      <x:c r="B169" t="str">
        <x:v>DORA_FULL</x:v>
      </x:c>
    </x:row>
    <x:row r="170">
      <x:c r="A170" t="str">
        <x:v>DORA-TST-008</x:v>
      </x:c>
      <x:c r="B170" t="str">
        <x:v>DORA_FULL</x:v>
      </x:c>
    </x:row>
    <x:row r="171">
      <x:c r="A171" t="str">
        <x:v>DORA-TST-008</x:v>
      </x:c>
      <x:c r="B171" t="str">
        <x:v>DORA_SIMPLIFIED</x:v>
      </x:c>
    </x:row>
    <x:row r="172">
      <x:c r="A172" t="str">
        <x:v>DORA-TST-009</x:v>
      </x:c>
      <x:c r="B172" t="str">
        <x:v>DORA_FULL</x:v>
      </x:c>
    </x:row>
    <x:row r="173">
      <x:c r="A173" t="str">
        <x:v>DORA-TST-009</x:v>
      </x:c>
      <x:c r="B173" t="str">
        <x:v>TLPT_SELECTED</x:v>
      </x:c>
    </x:row>
    <x:row r="174">
      <x:c r="A174" t="str">
        <x:v>DORA-TLPT-001</x:v>
      </x:c>
      <x:c r="B174" t="str">
        <x:v>TLPT_SELECTED</x:v>
      </x:c>
    </x:row>
    <x:row r="175">
      <x:c r="A175" t="str">
        <x:v>DORA-TLPT-001</x:v>
      </x:c>
      <x:c r="B175" t="str">
        <x:v>CONDITIONAL</x:v>
      </x:c>
    </x:row>
    <x:row r="176">
      <x:c r="A176" t="str">
        <x:v>DORA-TLPT-002</x:v>
      </x:c>
      <x:c r="B176" t="str">
        <x:v>TLPT_SELECTED</x:v>
      </x:c>
    </x:row>
    <x:row r="177">
      <x:c r="A177" t="str">
        <x:v>DORA-TLPT-003</x:v>
      </x:c>
      <x:c r="B177" t="str">
        <x:v>TLPT_SELECTED</x:v>
      </x:c>
    </x:row>
    <x:row r="178">
      <x:c r="A178" t="str">
        <x:v>DORA-TLPT-004</x:v>
      </x:c>
      <x:c r="B178" t="str">
        <x:v>TLPT_SELECTED</x:v>
      </x:c>
    </x:row>
    <x:row r="179">
      <x:c r="A179" t="str">
        <x:v>DORA-TLPT-005</x:v>
      </x:c>
      <x:c r="B179" t="str">
        <x:v>TLPT_SELECTED</x:v>
      </x:c>
    </x:row>
    <x:row r="180">
      <x:c r="A180" t="str">
        <x:v>DORA-TLPT-006</x:v>
      </x:c>
      <x:c r="B180" t="str">
        <x:v>TLPT_SELECTED</x:v>
      </x:c>
    </x:row>
    <x:row r="181">
      <x:c r="A181" t="str">
        <x:v>DORA-TLPT-007</x:v>
      </x:c>
      <x:c r="B181" t="str">
        <x:v>TLPT_SELECTED</x:v>
      </x:c>
    </x:row>
    <x:row r="182">
      <x:c r="A182" t="str">
        <x:v>DORA-TLPT-008</x:v>
      </x:c>
      <x:c r="B182" t="str">
        <x:v>TLPT_SELECTED</x:v>
      </x:c>
    </x:row>
    <x:row r="183">
      <x:c r="A183" t="str">
        <x:v>DORA-TPR-001</x:v>
      </x:c>
      <x:c r="B183" t="str">
        <x:v>DORA_FULL</x:v>
      </x:c>
    </x:row>
    <x:row r="184">
      <x:c r="A184" t="str">
        <x:v>DORA-TPR-001</x:v>
      </x:c>
      <x:c r="B184" t="str">
        <x:v>THIRD_PARTY</x:v>
      </x:c>
    </x:row>
    <x:row r="185">
      <x:c r="A185" t="str">
        <x:v>DORA-TPR-002</x:v>
      </x:c>
      <x:c r="B185" t="str">
        <x:v>DORA_FULL</x:v>
      </x:c>
    </x:row>
    <x:row r="186">
      <x:c r="A186" t="str">
        <x:v>DORA-TPR-002</x:v>
      </x:c>
      <x:c r="B186" t="str">
        <x:v>THIRD_PARTY</x:v>
      </x:c>
    </x:row>
    <x:row r="187">
      <x:c r="A187" t="str">
        <x:v>DORA-TPR-002</x:v>
      </x:c>
      <x:c r="B187" t="str">
        <x:v>CRITICAL_IMPORTANT_FUNCTION</x:v>
      </x:c>
    </x:row>
    <x:row r="188">
      <x:c r="A188" t="str">
        <x:v>DORA-TPR-003</x:v>
      </x:c>
      <x:c r="B188" t="str">
        <x:v>DORA_FULL</x:v>
      </x:c>
    </x:row>
    <x:row r="189">
      <x:c r="A189" t="str">
        <x:v>DORA-TPR-003</x:v>
      </x:c>
      <x:c r="B189" t="str">
        <x:v>THIRD_PARTY</x:v>
      </x:c>
    </x:row>
    <x:row r="190">
      <x:c r="A190" t="str">
        <x:v>DORA-TPR-004</x:v>
      </x:c>
      <x:c r="B190" t="str">
        <x:v>DORA_FULL</x:v>
      </x:c>
    </x:row>
    <x:row r="191">
      <x:c r="A191" t="str">
        <x:v>DORA-TPR-004</x:v>
      </x:c>
      <x:c r="B191" t="str">
        <x:v>THIRD_PARTY</x:v>
      </x:c>
    </x:row>
    <x:row r="192">
      <x:c r="A192" t="str">
        <x:v>DORA-TPR-005</x:v>
      </x:c>
      <x:c r="B192" t="str">
        <x:v>DORA_FULL</x:v>
      </x:c>
    </x:row>
    <x:row r="193">
      <x:c r="A193" t="str">
        <x:v>DORA-TPR-005</x:v>
      </x:c>
      <x:c r="B193" t="str">
        <x:v>THIRD_PARTY</x:v>
      </x:c>
    </x:row>
    <x:row r="194">
      <x:c r="A194" t="str">
        <x:v>DORA-TPR-006</x:v>
      </x:c>
      <x:c r="B194" t="str">
        <x:v>DORA_FULL</x:v>
      </x:c>
    </x:row>
    <x:row r="195">
      <x:c r="A195" t="str">
        <x:v>DORA-TPR-006</x:v>
      </x:c>
      <x:c r="B195" t="str">
        <x:v>THIRD_PARTY</x:v>
      </x:c>
    </x:row>
    <x:row r="196">
      <x:c r="A196" t="str">
        <x:v>DORA-TPR-007</x:v>
      </x:c>
      <x:c r="B196" t="str">
        <x:v>DORA_FULL</x:v>
      </x:c>
    </x:row>
    <x:row r="197">
      <x:c r="A197" t="str">
        <x:v>DORA-TPR-007</x:v>
      </x:c>
      <x:c r="B197" t="str">
        <x:v>THIRD_PARTY</x:v>
      </x:c>
    </x:row>
    <x:row r="198">
      <x:c r="A198" t="str">
        <x:v>DORA-TPR-007</x:v>
      </x:c>
      <x:c r="B198" t="str">
        <x:v>CRITICAL_IMPORTANT_FUNCTION</x:v>
      </x:c>
    </x:row>
    <x:row r="199">
      <x:c r="A199" t="str">
        <x:v>DORA-TPR-008</x:v>
      </x:c>
      <x:c r="B199" t="str">
        <x:v>DORA_FULL</x:v>
      </x:c>
    </x:row>
    <x:row r="200">
      <x:c r="A200" t="str">
        <x:v>DORA-TPR-008</x:v>
      </x:c>
      <x:c r="B200" t="str">
        <x:v>THIRD_PARTY</x:v>
      </x:c>
    </x:row>
    <x:row r="201">
      <x:c r="A201" t="str">
        <x:v>DORA-TPR-009</x:v>
      </x:c>
      <x:c r="B201" t="str">
        <x:v>DORA_FULL</x:v>
      </x:c>
    </x:row>
    <x:row r="202">
      <x:c r="A202" t="str">
        <x:v>DORA-TPR-009</x:v>
      </x:c>
      <x:c r="B202" t="str">
        <x:v>THIRD_PARTY</x:v>
      </x:c>
    </x:row>
    <x:row r="203">
      <x:c r="A203" t="str">
        <x:v>DORA-TPR-009</x:v>
      </x:c>
      <x:c r="B203" t="str">
        <x:v>CRITICAL_IMPORTANT_FUNCTION</x:v>
      </x:c>
    </x:row>
    <x:row r="204">
      <x:c r="A204" t="str">
        <x:v>DORA-TPR-010</x:v>
      </x:c>
      <x:c r="B204" t="str">
        <x:v>DORA_FULL</x:v>
      </x:c>
    </x:row>
    <x:row r="205">
      <x:c r="A205" t="str">
        <x:v>DORA-TPR-010</x:v>
      </x:c>
      <x:c r="B205" t="str">
        <x:v>THIRD_PARTY</x:v>
      </x:c>
    </x:row>
    <x:row r="206">
      <x:c r="A206" t="str">
        <x:v>DORA-TPR-011</x:v>
      </x:c>
      <x:c r="B206" t="str">
        <x:v>DORA_FULL</x:v>
      </x:c>
    </x:row>
    <x:row r="207">
      <x:c r="A207" t="str">
        <x:v>DORA-TPR-011</x:v>
      </x:c>
      <x:c r="B207" t="str">
        <x:v>THIRD_PARTY</x:v>
      </x:c>
    </x:row>
    <x:row r="208">
      <x:c r="A208" t="str">
        <x:v>DORA-TPR-012</x:v>
      </x:c>
      <x:c r="B208" t="str">
        <x:v>DORA_FULL</x:v>
      </x:c>
    </x:row>
    <x:row r="209">
      <x:c r="A209" t="str">
        <x:v>DORA-TPR-012</x:v>
      </x:c>
      <x:c r="B209" t="str">
        <x:v>THIRD_PARTY</x:v>
      </x:c>
    </x:row>
    <x:row r="210">
      <x:c r="A210" t="str">
        <x:v>DORA-TPR-013</x:v>
      </x:c>
      <x:c r="B210" t="str">
        <x:v>DORA_FULL</x:v>
      </x:c>
    </x:row>
    <x:row r="211">
      <x:c r="A211" t="str">
        <x:v>DORA-TPR-013</x:v>
      </x:c>
      <x:c r="B211" t="str">
        <x:v>THIRD_PARTY</x:v>
      </x:c>
    </x:row>
    <x:row r="212">
      <x:c r="A212" t="str">
        <x:v>DORA-TPR-013</x:v>
      </x:c>
      <x:c r="B212" t="str">
        <x:v>CRITICAL_IMPORTANT_FUNCTION</x:v>
      </x:c>
    </x:row>
    <x:row r="213">
      <x:c r="A213" t="str">
        <x:v>DORA-TPR-014</x:v>
      </x:c>
      <x:c r="B213" t="str">
        <x:v>DORA_FULL</x:v>
      </x:c>
    </x:row>
    <x:row r="214">
      <x:c r="A214" t="str">
        <x:v>DORA-TPR-014</x:v>
      </x:c>
      <x:c r="B214" t="str">
        <x:v>THIRD_PARTY</x:v>
      </x:c>
    </x:row>
    <x:row r="215">
      <x:c r="A215" t="str">
        <x:v>DORA-TPR-015</x:v>
      </x:c>
      <x:c r="B215" t="str">
        <x:v>DORA_FULL</x:v>
      </x:c>
    </x:row>
    <x:row r="216">
      <x:c r="A216" t="str">
        <x:v>DORA-TPR-015</x:v>
      </x:c>
      <x:c r="B216" t="str">
        <x:v>THIRD_PARTY</x:v>
      </x:c>
    </x:row>
    <x:row r="217">
      <x:c r="A217" t="str">
        <x:v>DORA-TPR-016</x:v>
      </x:c>
      <x:c r="B217" t="str">
        <x:v>DORA_FULL</x:v>
      </x:c>
    </x:row>
    <x:row r="218">
      <x:c r="A218" t="str">
        <x:v>DORA-TPR-016</x:v>
      </x:c>
      <x:c r="B218" t="str">
        <x:v>THIRD_PARTY</x:v>
      </x:c>
    </x:row>
    <x:row r="219">
      <x:c r="A219" t="str">
        <x:v>DORA-TPR-017</x:v>
      </x:c>
      <x:c r="B219" t="str">
        <x:v>DORA_FULL</x:v>
      </x:c>
    </x:row>
    <x:row r="220">
      <x:c r="A220" t="str">
        <x:v>DORA-TPR-017</x:v>
      </x:c>
      <x:c r="B220" t="str">
        <x:v>THIRD_PARTY</x:v>
      </x:c>
    </x:row>
    <x:row r="221">
      <x:c r="A221" t="str">
        <x:v>DORA-TPR-017</x:v>
      </x:c>
      <x:c r="B221" t="str">
        <x:v>CRITICAL_IMPORTANT_FUNCTION</x:v>
      </x:c>
    </x:row>
    <x:row r="222">
      <x:c r="A222" t="str">
        <x:v>DORA-TPR-018</x:v>
      </x:c>
      <x:c r="B222" t="str">
        <x:v>DORA_FULL</x:v>
      </x:c>
    </x:row>
    <x:row r="223">
      <x:c r="A223" t="str">
        <x:v>DORA-TPR-018</x:v>
      </x:c>
      <x:c r="B223" t="str">
        <x:v>THIRD_PARTY</x:v>
      </x:c>
    </x:row>
    <x:row r="224">
      <x:c r="A224" t="str">
        <x:v>DORA-TPR-018</x:v>
      </x:c>
      <x:c r="B224" t="str">
        <x:v>CRITICAL_IMPORTANT_FUNCTION</x:v>
      </x:c>
    </x:row>
    <x:row r="225">
      <x:c r="A225" t="str">
        <x:v>DORA-TPR-019</x:v>
      </x:c>
      <x:c r="B225" t="str">
        <x:v>DORA_FULL</x:v>
      </x:c>
    </x:row>
    <x:row r="226">
      <x:c r="A226" t="str">
        <x:v>DORA-TPR-019</x:v>
      </x:c>
      <x:c r="B226" t="str">
        <x:v>THIRD_PARTY</x:v>
      </x:c>
    </x:row>
    <x:row r="227">
      <x:c r="A227" t="str">
        <x:v>DORA-TPR-020</x:v>
      </x:c>
      <x:c r="B227" t="str">
        <x:v>DORA_FULL</x:v>
      </x:c>
    </x:row>
    <x:row r="228">
      <x:c r="A228" t="str">
        <x:v>DORA-TPR-020</x:v>
      </x:c>
      <x:c r="B228" t="str">
        <x:v>THIRD_PARTY</x:v>
      </x:c>
    </x:row>
    <x:row r="229">
      <x:c r="A229" t="str">
        <x:v>DORA-TPR-020</x:v>
      </x:c>
      <x:c r="B229" t="str">
        <x:v>INTRAGROUP</x:v>
      </x:c>
    </x:row>
    <x:row r="230">
      <x:c r="A230" t="str">
        <x:v>DORA-TPR-021</x:v>
      </x:c>
      <x:c r="B230" t="str">
        <x:v>DORA_FULL</x:v>
      </x:c>
    </x:row>
    <x:row r="231">
      <x:c r="A231" t="str">
        <x:v>DORA-TPR-021</x:v>
      </x:c>
      <x:c r="B231" t="str">
        <x:v>THIRD_PARTY</x:v>
      </x:c>
    </x:row>
    <x:row r="232">
      <x:c r="A232" t="str">
        <x:v>DORA-TPR-021</x:v>
      </x:c>
      <x:c r="B232" t="str">
        <x:v>CLOUD</x:v>
      </x:c>
    </x:row>
    <x:row r="233">
      <x:c r="A233" t="str">
        <x:v>DORA-TPR-022</x:v>
      </x:c>
      <x:c r="B233" t="str">
        <x:v>DORA_FULL</x:v>
      </x:c>
    </x:row>
    <x:row r="234">
      <x:c r="A234" t="str">
        <x:v>DORA-TPR-022</x:v>
      </x:c>
      <x:c r="B234" t="str">
        <x:v>THIRD_PARTY</x:v>
      </x:c>
    </x:row>
    <x:row r="235">
      <x:c r="A235" t="str">
        <x:v>DORA-TPR-022</x:v>
      </x:c>
      <x:c r="B235" t="str">
        <x:v>CRITICAL_IMPORTANT_FUNCTION</x:v>
      </x:c>
    </x:row>
    <x:row r="236">
      <x:c r="A236" t="str">
        <x:v>DORA-ROI-001</x:v>
      </x:c>
      <x:c r="B236" t="str">
        <x:v>DORA_FULL</x:v>
      </x:c>
    </x:row>
    <x:row r="237">
      <x:c r="A237" t="str">
        <x:v>DORA-ROI-001</x:v>
      </x:c>
      <x:c r="B237" t="str">
        <x:v>DORA_SIMPLIFIED</x:v>
      </x:c>
    </x:row>
    <x:row r="238">
      <x:c r="A238" t="str">
        <x:v>DORA-ROI-001</x:v>
      </x:c>
      <x:c r="B238" t="str">
        <x:v>THIRD_PARTY</x:v>
      </x:c>
    </x:row>
    <x:row r="239">
      <x:c r="A239" t="str">
        <x:v>DORA-ROI-002</x:v>
      </x:c>
      <x:c r="B239" t="str">
        <x:v>DORA_FULL</x:v>
      </x:c>
    </x:row>
    <x:row r="240">
      <x:c r="A240" t="str">
        <x:v>DORA-ROI-002</x:v>
      </x:c>
      <x:c r="B240" t="str">
        <x:v>THIRD_PARTY</x:v>
      </x:c>
    </x:row>
    <x:row r="241">
      <x:c r="A241" t="str">
        <x:v>DORA-ROI-002</x:v>
      </x:c>
      <x:c r="B241" t="str">
        <x:v>GROUP</x:v>
      </x:c>
    </x:row>
    <x:row r="242">
      <x:c r="A242" t="str">
        <x:v>DORA-ROI-003</x:v>
      </x:c>
      <x:c r="B242" t="str">
        <x:v>DORA_FULL</x:v>
      </x:c>
    </x:row>
    <x:row r="243">
      <x:c r="A243" t="str">
        <x:v>DORA-ROI-003</x:v>
      </x:c>
      <x:c r="B243" t="str">
        <x:v>DORA_SIMPLIFIED</x:v>
      </x:c>
    </x:row>
    <x:row r="244">
      <x:c r="A244" t="str">
        <x:v>DORA-ROI-003</x:v>
      </x:c>
      <x:c r="B244" t="str">
        <x:v>THIRD_PARTY</x:v>
      </x:c>
    </x:row>
    <x:row r="245">
      <x:c r="A245" t="str">
        <x:v>DORA-ROI-004</x:v>
      </x:c>
      <x:c r="B245" t="str">
        <x:v>DORA_FULL</x:v>
      </x:c>
    </x:row>
    <x:row r="246">
      <x:c r="A246" t="str">
        <x:v>DORA-ROI-004</x:v>
      </x:c>
      <x:c r="B246" t="str">
        <x:v>DORA_SIMPLIFIED</x:v>
      </x:c>
    </x:row>
    <x:row r="247">
      <x:c r="A247" t="str">
        <x:v>DORA-ROI-004</x:v>
      </x:c>
      <x:c r="B247" t="str">
        <x:v>THIRD_PARTY</x:v>
      </x:c>
    </x:row>
    <x:row r="248">
      <x:c r="A248" t="str">
        <x:v>DORA-ROI-005</x:v>
      </x:c>
      <x:c r="B248" t="str">
        <x:v>DORA_FULL</x:v>
      </x:c>
    </x:row>
    <x:row r="249">
      <x:c r="A249" t="str">
        <x:v>DORA-ROI-005</x:v>
      </x:c>
      <x:c r="B249" t="str">
        <x:v>DORA_SIMPLIFIED</x:v>
      </x:c>
    </x:row>
    <x:row r="250">
      <x:c r="A250" t="str">
        <x:v>DORA-ROI-005</x:v>
      </x:c>
      <x:c r="B250" t="str">
        <x:v>THIRD_PARTY</x:v>
      </x:c>
    </x:row>
    <x:row r="251">
      <x:c r="A251" t="str">
        <x:v>DORA-ROI-006</x:v>
      </x:c>
      <x:c r="B251" t="str">
        <x:v>DORA_FULL</x:v>
      </x:c>
    </x:row>
    <x:row r="252">
      <x:c r="A252" t="str">
        <x:v>DORA-ROI-006</x:v>
      </x:c>
      <x:c r="B252" t="str">
        <x:v>DORA_SIMPLIFIED</x:v>
      </x:c>
    </x:row>
    <x:row r="253">
      <x:c r="A253" t="str">
        <x:v>DORA-ROI-006</x:v>
      </x:c>
      <x:c r="B253" t="str">
        <x:v>THIRD_PARTY</x:v>
      </x:c>
    </x:row>
    <x:row r="254">
      <x:c r="A254" t="str">
        <x:v>DORA-ROI-007</x:v>
      </x:c>
      <x:c r="B254" t="str">
        <x:v>DORA_FULL</x:v>
      </x:c>
    </x:row>
    <x:row r="255">
      <x:c r="A255" t="str">
        <x:v>DORA-ROI-007</x:v>
      </x:c>
      <x:c r="B255" t="str">
        <x:v>THIRD_PARTY</x:v>
      </x:c>
    </x:row>
    <x:row r="256">
      <x:c r="A256" t="str">
        <x:v>DORA-ROI-007</x:v>
      </x:c>
      <x:c r="B256" t="str">
        <x:v>CRITICAL_IMPORTANT_FUNCTION</x:v>
      </x:c>
    </x:row>
    <x:row r="257">
      <x:c r="A257" t="str">
        <x:v>DORA-ROI-008</x:v>
      </x:c>
      <x:c r="B257" t="str">
        <x:v>DORA_FULL</x:v>
      </x:c>
    </x:row>
    <x:row r="258">
      <x:c r="A258" t="str">
        <x:v>DORA-ROI-008</x:v>
      </x:c>
      <x:c r="B258" t="str">
        <x:v>THIRD_PARTY</x:v>
      </x:c>
    </x:row>
    <x:row r="259">
      <x:c r="A259" t="str">
        <x:v>DORA-ROI-008</x:v>
      </x:c>
      <x:c r="B259" t="str">
        <x:v>CRITICAL_IMPORTANT_FUNCTION</x:v>
      </x:c>
    </x:row>
    <x:row r="260">
      <x:c r="A260" t="str">
        <x:v>DORA-IS-001</x:v>
      </x:c>
      <x:c r="B260" t="str">
        <x:v>OPTIONAL</x:v>
      </x:c>
    </x:row>
    <x:row r="261">
      <x:c r="A261" t="str">
        <x:v>DORA-IS-001</x:v>
      </x:c>
      <x:c r="B261" t="str">
        <x:v>DORA_FULL</x:v>
      </x:c>
    </x:row>
    <x:row r="262">
      <x:c r="A262" t="str">
        <x:v>DORA-IS-002</x:v>
      </x:c>
      <x:c r="B262" t="str">
        <x:v>OPTIONAL</x:v>
      </x:c>
    </x:row>
    <x:row r="263">
      <x:c r="A263" t="str">
        <x:v>DORA-IS-002</x:v>
      </x:c>
      <x:c r="B263" t="str">
        <x:v>DORA_FULL</x:v>
      </x:c>
    </x:row>
    <x:row r="264">
      <x:c r="A264" t="str">
        <x:v>DORA-IS-003</x:v>
      </x:c>
      <x:c r="B264" t="str">
        <x:v>OPTIONAL</x:v>
      </x:c>
    </x:row>
    <x:row r="265">
      <x:c r="A265" t="str">
        <x:v>DORA-IS-003</x:v>
      </x:c>
      <x:c r="B265" t="str">
        <x:v>DORA_FULL</x:v>
      </x:c>
    </x:row>
    <x:row r="266">
      <x:c r="A266" t="str">
        <x:v>DORA-SIM-001</x:v>
      </x:c>
      <x:c r="B266" t="str">
        <x:v>DORA_SIMPLIFIED</x:v>
      </x:c>
    </x:row>
    <x:row r="267">
      <x:c r="A267" t="str">
        <x:v>DORA-SIM-001</x:v>
      </x:c>
      <x:c r="B267" t="str">
        <x:v>CONDITIONAL</x:v>
      </x:c>
    </x:row>
    <x:row r="268">
      <x:c r="A268" t="str">
        <x:v>DORA-SIM-002</x:v>
      </x:c>
      <x:c r="B268" t="str">
        <x:v>DORA_SIMPLIFIED</x:v>
      </x:c>
    </x:row>
    <x:row r="269">
      <x:c r="A269" t="str">
        <x:v>DORA-SIM-003</x:v>
      </x:c>
      <x:c r="B269" t="str">
        <x:v>DORA_SIMPLIFIED</x:v>
      </x:c>
    </x:row>
    <x:row r="270">
      <x:c r="A270" t="str">
        <x:v>DORA-SIM-004</x:v>
      </x:c>
      <x:c r="B270" t="str">
        <x:v>DORA_SIMPLIFIED</x:v>
      </x:c>
    </x:row>
    <x:row r="271">
      <x:c r="A271" t="str">
        <x:v>DORA-SIM-005</x:v>
      </x:c>
      <x:c r="B271" t="str">
        <x:v>DORA_SIMPLIFIED</x:v>
      </x:c>
    </x:row>
    <x:row r="272">
      <x:c r="A272" t="str">
        <x:v>DORA-SIM-006</x:v>
      </x:c>
      <x:c r="B272" t="str">
        <x:v>DORA_SIMPLIFIED</x:v>
      </x:c>
    </x:row>
    <x:row r="273">
      <x:c r="A273" t="str">
        <x:v>DORA-SIM-007</x:v>
      </x:c>
      <x:c r="B273" t="str">
        <x:v>DORA_SIMPLIFIED</x:v>
      </x:c>
    </x:row>
    <x:row r="274">
      <x:c r="A274" t="str">
        <x:v>DORA-SIM-008</x:v>
      </x:c>
      <x:c r="B274" t="str">
        <x:v>DORA_SIMPLIFIED</x:v>
      </x:c>
    </x:row>
    <x:row r="275">
      <x:c r="A275" t="str">
        <x:v>DORA-SIM-009</x:v>
      </x:c>
      <x:c r="B275" t="str">
        <x:v>DORA_SIMPLIFIED</x:v>
      </x:c>
    </x:row>
    <x:row r="276">
      <x:c r="A276" t="str">
        <x:v>DORA-SIM-010</x:v>
      </x:c>
      <x:c r="B276" t="str">
        <x:v>DORA_SIMPLIFIED</x:v>
      </x:c>
    </x:row>
    <x:row r="277">
      <x:c r="A277" t="str">
        <x:v>DORA-SIM-011</x:v>
      </x:c>
      <x:c r="B277" t="str">
        <x:v>DORA_SIMPLIFIED</x:v>
      </x:c>
    </x:row>
    <x:row r="278">
      <x:c r="A278" t="str">
        <x:v>DORA-SIM-012</x:v>
      </x:c>
      <x:c r="B278" t="str">
        <x:v>DORA_SIMPLIFIED</x:v>
      </x:c>
    </x:row>
    <x:row r="279">
      <x:c r="A279" t="str">
        <x:v>DORA-SIM-013</x:v>
      </x:c>
      <x:c r="B279" t="str">
        <x:v>DORA_SIMPLIFIED</x:v>
      </x:c>
    </x:row>
    <x:row r="280">
      <x:c r="A280" t="str">
        <x:v>DORA-SIM-014</x:v>
      </x:c>
      <x:c r="B280" t="str">
        <x:v>DORA_SIMPLIFIED</x:v>
      </x:c>
    </x:row>
    <x:row r="281">
      <x:c r="A281" t="str">
        <x:v>DORA-SIM-015</x:v>
      </x:c>
      <x:c r="B281" t="str">
        <x:v>DORA_SIMPLIFIED</x:v>
      </x:c>
    </x:row>
    <x:row r="282">
      <x:c r="A282" t="str">
        <x:v>DORA-CTPP-001</x:v>
      </x:c>
      <x:c r="B282" t="str">
        <x:v>ICT_TPP</x:v>
      </x:c>
    </x:row>
    <x:row r="283">
      <x:c r="A283" t="str">
        <x:v>DORA-CTPP-001</x:v>
      </x:c>
      <x:c r="B283" t="str">
        <x:v>PROVIDER_SIDE</x:v>
      </x:c>
    </x:row>
    <x:row r="284">
      <x:c r="A284" t="str">
        <x:v>DORA-CTPP-001</x:v>
      </x:c>
      <x:c r="B284" t="str">
        <x:v>OPTIONAL</x:v>
      </x:c>
    </x:row>
    <x:row r="285">
      <x:c r="A285" t="str">
        <x:v>DORA-CTPP-002</x:v>
      </x:c>
      <x:c r="B285" t="str">
        <x:v>ICT_TPP</x:v>
      </x:c>
    </x:row>
    <x:row r="286">
      <x:c r="A286" t="str">
        <x:v>DORA-CTPP-002</x:v>
      </x:c>
      <x:c r="B286" t="str">
        <x:v>CTPP</x:v>
      </x:c>
    </x:row>
    <x:row r="287">
      <x:c r="A287" t="str">
        <x:v>DORA-CTPP-002</x:v>
      </x:c>
      <x:c r="B287" t="str">
        <x:v>CONDITIONAL</x:v>
      </x:c>
    </x:row>
    <x:row r="288">
      <x:c r="A288" t="str">
        <x:v>DORA-CTPP-003</x:v>
      </x:c>
      <x:c r="B288" t="str">
        <x:v>ICT_TPP</x:v>
      </x:c>
    </x:row>
    <x:row r="289">
      <x:c r="A289" t="str">
        <x:v>DORA-CTPP-003</x:v>
      </x:c>
      <x:c r="B289" t="str">
        <x:v>CTPP</x:v>
      </x:c>
    </x:row>
    <x:row r="290">
      <x:c r="A290" t="str">
        <x:v>DORA-CTPP-003</x:v>
      </x:c>
      <x:c r="B290" t="str">
        <x:v>CONDITIONAL</x:v>
      </x:c>
    </x:row>
  </x:sheetData>
  <x:pageMargins left="0.7" right="0.7" top="0.75" bottom="0.75" header="0.3" footer="0.3"/>
  <x:tableParts count="1">
    <x:tablePart xmlns:r="http://schemas.openxmlformats.org/officeDocument/2006/relationships" r:id="R673b971f331f48e2"/>
  </x:tableParts>
</x:worksheet>
</file>